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ложка" sheetId="1" state="visible" r:id="rId2"/>
    <sheet name="Допущения" sheetId="2" state="visible" r:id="rId3"/>
    <sheet name="Юнит-экономика" sheetId="3" state="visible" r:id="rId4"/>
    <sheet name="Модель 18 мес" sheetId="4" state="visible" r:id="rId5"/>
    <sheet name="Источники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<sst xmlns="http://schemas.openxmlformats.org/spreadsheetml/2006/main" count="201" uniqueCount="118">
  <si>
    <t xml:space="preserve">Detention Navigator — юнит-экономика и 18-месячная модель</t>
  </si>
  <si>
    <t xml:space="preserve">Три сценария: пессимистичный / базовый / оптимистичный. Все вычисления — формулами Excel (изменяйте синие входы).</t>
  </si>
  <si>
    <t xml:space="preserve">Ключевые показатели (базовый сценарий)</t>
  </si>
  <si>
    <t xml:space="preserve">Цена Navigator Kit (разово)</t>
  </si>
  <si>
    <t xml:space="preserve">Цена Status Monitor ($/мес)</t>
  </si>
  <si>
    <t xml:space="preserve">Выручка на платного клиента (LTV)</t>
  </si>
  <si>
    <t xml:space="preserve">CAC</t>
  </si>
  <si>
    <t xml:space="preserve">LTV / CAC</t>
  </si>
  <si>
    <t xml:space="preserve">Состав файла</t>
  </si>
  <si>
    <t xml:space="preserve">Допущения</t>
  </si>
  <si>
    <t xml:space="preserve">Все входные параметры трёх сценариев (синие ячейки — редактируемые)</t>
  </si>
  <si>
    <t xml:space="preserve">Юнит-экономика</t>
  </si>
  <si>
    <t xml:space="preserve">LTV, CAC, маржа на клиента по сценариям</t>
  </si>
  <si>
    <t xml:space="preserve">Модель 18 мес</t>
  </si>
  <si>
    <t xml:space="preserve">Помесячный прогноз выручки и расходов по сценариям</t>
  </si>
  <si>
    <t xml:space="preserve">Источники</t>
  </si>
  <si>
    <t xml:space="preserve">Откуда взяты внешние данные</t>
  </si>
  <si>
    <t xml:space="preserve">Шрифты: синий — входы, чёрный — формулы, зелёный — ссылки на другие листы.</t>
  </si>
  <si>
    <t xml:space="preserve">Допущения по сценариям</t>
  </si>
  <si>
    <t xml:space="preserve">Параметр</t>
  </si>
  <si>
    <t xml:space="preserve">Пессимистичный</t>
  </si>
  <si>
    <t xml:space="preserve">Базовый</t>
  </si>
  <si>
    <t xml:space="preserve">Оптимистичный</t>
  </si>
  <si>
    <t xml:space="preserve">Комментарий</t>
  </si>
  <si>
    <t xml:space="preserve">Цена Navigator Kit, $ (разово)</t>
  </si>
  <si>
    <t xml:space="preserve">Из спецификации</t>
  </si>
  <si>
    <t xml:space="preserve">Цена Status Monitor, $/мес</t>
  </si>
  <si>
    <t xml:space="preserve">Конверсия лендинг → покупка Kit</t>
  </si>
  <si>
    <t xml:space="preserve">Гипотеза; пилот измерит</t>
  </si>
  <si>
    <t xml:space="preserve">Доля покупателей Kit, берущих Monitor</t>
  </si>
  <si>
    <t xml:space="preserve">Кризисный сценарий повышает</t>
  </si>
  <si>
    <t xml:space="preserve">Средняя жизнь подписки Monitor, мес</t>
  </si>
  <si>
    <t xml:space="preserve">Медиана детеншн-дела 36 дн. (EOIR)</t>
  </si>
  <si>
    <t xml:space="preserve">Посетителей лендинга в мес, старт</t>
  </si>
  <si>
    <t xml:space="preserve">SEO + общины</t>
  </si>
  <si>
    <t xml:space="preserve">Рост трафика, % в мес</t>
  </si>
  <si>
    <t xml:space="preserve">Контент + сарафан</t>
  </si>
  <si>
    <t xml:space="preserve">CAC на платного клиента, $</t>
  </si>
  <si>
    <t xml:space="preserve">Общины дешевле рекламы</t>
  </si>
  <si>
    <t xml:space="preserve">Переменные расходы на клиента, $</t>
  </si>
  <si>
    <t xml:space="preserve">Stripe ~3%, хостинг, email</t>
  </si>
  <si>
    <t xml:space="preserve">Фикс. расходы в мес, $ (старт)</t>
  </si>
  <si>
    <t xml:space="preserve">Инфраструктура, контент, ревью адвоката</t>
  </si>
  <si>
    <t xml:space="preserve">Рост фикс. расходов, % в мес</t>
  </si>
  <si>
    <t xml:space="preserve">Масштабирование контента</t>
  </si>
  <si>
    <t xml:space="preserve">Юнит-экономика на платного клиента</t>
  </si>
  <si>
    <t xml:space="preserve">Показатель</t>
  </si>
  <si>
    <t xml:space="preserve">Формула</t>
  </si>
  <si>
    <t xml:space="preserve">Выручка Kit на клиента, $</t>
  </si>
  <si>
    <t xml:space="preserve">цена Kit</t>
  </si>
  <si>
    <t xml:space="preserve">Выручка Monitor на клиента, $</t>
  </si>
  <si>
    <t xml:space="preserve">цена × доля × мес</t>
  </si>
  <si>
    <t xml:space="preserve">Выручка всего (LTV), $</t>
  </si>
  <si>
    <t xml:space="preserve">Kit + Monitor</t>
  </si>
  <si>
    <t xml:space="preserve">Переменные расходы, $</t>
  </si>
  <si>
    <t xml:space="preserve">Stripe, инфра</t>
  </si>
  <si>
    <t xml:space="preserve">Валовая прибыль на клиента, $</t>
  </si>
  <si>
    <t xml:space="preserve">LTV − переменные</t>
  </si>
  <si>
    <t xml:space="preserve">CAC, $</t>
  </si>
  <si>
    <t xml:space="preserve">гипотеза</t>
  </si>
  <si>
    <t xml:space="preserve">Чистая маржа на клиента, $</t>
  </si>
  <si>
    <t xml:space="preserve">валовая − CAC</t>
  </si>
  <si>
    <t xml:space="preserve">Сводка для обложки (базовый сценарий)</t>
  </si>
  <si>
    <t xml:space="preserve">LTV</t>
  </si>
  <si>
    <t xml:space="preserve">Помесячная модель, 18 месяцев</t>
  </si>
  <si>
    <t xml:space="preserve">Сценарий: Пессимистичный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</si>
  <si>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</si>
  <si>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</si>
  <si>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</si>
  <si>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</si>
  <si>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</si>
  <si>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</si>
  <si>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</si>
  <si>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</si>
  <si>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</si>
  <si>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</si>
  <si>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</si>
  <si>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</si>
  <si>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М13</t>
  </si>
  <si>
    <t xml:space="preserve">М14</t>
  </si>
  <si>
    <t xml:space="preserve">М15</t>
  </si>
  <si>
    <t xml:space="preserve">М16</t>
  </si>
  <si>
    <t xml:space="preserve">М17</t>
  </si>
  <si>
    <t xml:space="preserve">М18</t>
  </si>
  <si>
    <t xml:space="preserve">Трафик (посетители)</t>
  </si>
  <si>
    <t xml:space="preserve">Покупатели Kit</t>
  </si>
  <si>
    <t xml:space="preserve">Новые подписчики Monitor</t>
  </si>
  <si>
    <t xml:space="preserve">Активные подписчики Monitor</t>
  </si>
  <si>
    <t xml:space="preserve">Выручка Kit, $</t>
  </si>
  <si>
    <t xml:space="preserve">Выручка Monitor, $</t>
  </si>
  <si>
    <t xml:space="preserve">Выручка всего, $</t>
  </si>
  <si>
    <t xml:space="preserve">Маркетинг (CAC), $</t>
  </si>
  <si>
    <t xml:space="preserve">Фиксированные расходы, $</t>
  </si>
  <si>
    <t xml:space="preserve">Чистый денежный поток, $</t>
  </si>
  <si>
    <t xml:space="preserve">Накопленный поток, $</t>
  </si>
  <si>
    <t xml:space="preserve">Сценарий: Базовый</t>
  </si>
  <si>
    <t xml:space="preserve">Сценарий: Оптимистичный</t>
  </si>
  <si>
    <t xml:space="preserve">Сводка для графика: накопленный денежный поток, $</t>
  </si>
  <si>
    <t xml:space="preserve">Внешние данные и источники</t>
  </si>
  <si>
    <t xml:space="preserve">Данные</t>
  </si>
  <si>
    <t xml:space="preserve">Где использованы</t>
  </si>
  <si>
    <t xml:space="preserve">Source Name</t>
  </si>
  <si>
    <t xml:space="preserve">Source URL</t>
  </si>
  <si>
    <t xml:space="preserve">Медиана детеншн-дела 36 дней; жизнь подписки</t>
  </si>
  <si>
    <t xml:space="preserve">Допущения: жизнь Monitor</t>
  </si>
  <si>
    <t xml:space="preserve">Deportation Data Project — EOIR cases (CC0)</t>
  </si>
  <si>
    <t xml:space="preserve">https://github.com/deportationdata/eoir</t>
  </si>
  <si>
    <t xml:space="preserve">~120 тыс. дел с задержанием в год (2025)</t>
  </si>
  <si>
    <t xml:space="preserve">Обоснование рынка</t>
  </si>
  <si>
    <t xml:space="preserve">Языки задержанных 2025 (русский — 1 074, испанский — 113 386)</t>
  </si>
  <si>
    <t xml:space="preserve">Обоснование локализации</t>
  </si>
  <si>
    <t xml:space="preserve">19,7% задержанных на всё время дела имели адвоката</t>
  </si>
  <si>
    <t xml:space="preserve">Питч, FAQ</t>
  </si>
  <si>
    <t xml:space="preserve">Цены $99 / $7,99</t>
  </si>
  <si>
    <t xml:space="preserve">Спецификация продукта (внутр.)</t>
  </si>
  <si>
    <t xml:space="preserve">—</t>
  </si>
  <si>
    <t xml:space="preserve">Конверсии, CAC, расходы</t>
  </si>
  <si>
    <t xml:space="preserve">Гипотезы команды; подлежат измерению в пилоте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</si>
</sst>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\x"/>
    <numFmt numFmtId="167" formatCode="\$#,##0"/>
    <numFmt numFmtId="168" formatCode="0.0%"/>
    <numFmt numFmtId="169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sz val="9"/>
      <color rgb="FF888888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66CC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FF3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C0D2A7"/>
      <rgbColor rgb="FF878787"/>
      <rgbColor rgb="FF9999FF"/>
      <rgbColor rgb="FF993366"/>
      <rgbColor rgb="FFFFF3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666666"/>
      <rgbColor rgb="FF888888"/>
      <rgbColor rgb="FF122B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LTV / CAC по сценариям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"LTV/CAC"</c:f>
              <c:strCache>
                <c:ptCount val="1"/>
                <c:pt idx="0">
                  <c:v>LTV/CAC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'Юнит-экономика'!$C$4:$E$4</c:f>
              <c:multiLvlStrCache>
                <c:ptCount val="1"/>
                <c:lvl>
                  <c:pt idx="0">
                    <c:v>Оптимистичный</c:v>
                  </c:pt>
                </c:lvl>
                <c:lvl>
                  <c:pt idx="0">
                    <c:v>Базовый</c:v>
                  </c:pt>
                </c:lvl>
                <c:lvl>
                  <c:pt idx="0">
                    <c:v>Пессимистичный</c:v>
                  </c:pt>
                </c:lvl>
              </c:multiLvlStrCache>
            </c:multiLvlStrRef>
          </c:cat>
          <c:val>
            <c:numRef>
              <c:f>'Юнит-экономика'!$C$11:$E$11</c:f>
              <c:numCache>
                <c:formatCode>General</c:formatCode>
                <c:ptCount val="3"/>
                <c:pt idx="0">
                  <c:v>2.28877777777778</c:v>
                </c:pt>
                <c:pt idx="1">
                  <c:v>3.6196</c:v>
                </c:pt>
                <c:pt idx="2">
                  <c:v>6.47655555555556</c:v>
                </c:pt>
              </c:numCache>
            </c:numRef>
          </c:val>
        </c:ser>
        <c:gapWidth val="150"/>
        <c:overlap val="0"/>
        <c:axId val="97425657"/>
        <c:axId val="19506389"/>
      </c:barChart>
      <c:catAx>
        <c:axId val="97425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06389"/>
        <c:crosses val="autoZero"/>
        <c:auto val="1"/>
        <c:lblAlgn val="ctr"/>
        <c:lblOffset val="100"/>
        <c:noMultiLvlLbl val="0"/>
      </c:catAx>
      <c:valAx>
        <c:axId val="19506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25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Накопленный денежный поток по сценариям, 18 мес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"Пессимистичный"</c:f>
              <c:strCache>
                <c:ptCount val="1"/>
                <c:pt idx="0">
                  <c:v>Пессимистичный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'Модель 18 мес'!$C$5:$T$5</c:f>
              <c:multiLvlStrCache>
                <c:ptCount val="1"/>
                <c:lvl>
                  <c:pt idx="0">
                    <c:v>М18</c:v>
                  </c:pt>
                </c:lvl>
                <c:lvl>
                  <c:pt idx="0">
                    <c:v>М17</c:v>
                  </c:pt>
                </c:lvl>
                <c:lvl>
                  <c:pt idx="0">
                    <c:v>М16</c:v>
                  </c:pt>
                </c:lvl>
                <c:lvl>
                  <c:pt idx="0">
                    <c:v>М15</c:v>
                  </c:pt>
                </c:lvl>
                <c:lvl>
                  <c:pt idx="0">
                    <c:v>М14</c:v>
                  </c:pt>
                </c:lvl>
                <c:lvl>
                  <c:pt idx="0">
                    <c:v>М13</c:v>
                  </c:pt>
                </c:lvl>
                <c:lvl>
                  <c:pt idx="0">
                    <c:v>М12</c:v>
                  </c:pt>
                </c:lvl>
                <c:lvl>
                  <c:pt idx="0">
                    <c:v>М11</c:v>
                  </c:pt>
                </c:lvl>
                <c:lvl>
                  <c:pt idx="0">
                    <c:v>М10</c:v>
                  </c:pt>
                </c:lvl>
                <c:lvl>
                  <c:pt idx="0">
                    <c:v>М9</c:v>
                  </c:pt>
                </c:lvl>
                <c:lvl>
                  <c:pt idx="0">
                    <c:v>М8</c:v>
                  </c:pt>
                </c:lvl>
                <c:lvl>
                  <c:pt idx="0">
                    <c:v>М7</c:v>
                  </c:pt>
                </c:lvl>
                <c:lvl>
                  <c:pt idx="0">
                    <c:v>М6</c:v>
                  </c:pt>
                </c:lvl>
                <c:lvl>
                  <c:pt idx="0">
                    <c:v>М5</c:v>
                  </c:pt>
                </c:lvl>
                <c:lvl>
                  <c:pt idx="0">
                    <c:v>М4</c:v>
                  </c:pt>
                </c:lvl>
                <c:lvl>
                  <c:pt idx="0">
                    <c:v>М3</c:v>
                  </c:pt>
                </c:lvl>
                <c:lvl>
                  <c:pt idx="0">
                    <c:v>М2</c:v>
                  </c:pt>
                </c:lvl>
                <c:lvl>
                  <c:pt idx="0">
                    <c:v>М1</c:v>
                  </c:pt>
                </c:lvl>
              </c:multiLvlStrCache>
            </c:multiLvlStrRef>
          </c:cat>
          <c:val>
            <c:numRef>
              <c:f>'Модель 18 мес'!$C$57:$T$57</c:f>
              <c:numCache>
                <c:formatCode>General</c:formatCode>
                <c:ptCount val="18"/>
                <c:pt idx="0">
                  <c:v>-450.125</c:v>
                </c:pt>
                <c:pt idx="1">
                  <c:v>-782.88125</c:v>
                </c:pt>
                <c:pt idx="2">
                  <c:v>-1040.4753125</c:v>
                </c:pt>
                <c:pt idx="3">
                  <c:v>-1217.313078125</c:v>
                </c:pt>
                <c:pt idx="4">
                  <c:v>-1307.48401203125</c:v>
                </c:pt>
                <c:pt idx="5">
                  <c:v>-1304.74459823281</c:v>
                </c:pt>
                <c:pt idx="6">
                  <c:v>-1202.50094145645</c:v>
                </c:pt>
                <c:pt idx="7">
                  <c:v>-993.790484107516</c:v>
                </c:pt>
                <c:pt idx="8">
                  <c:v>-671.262793802697</c:v>
                </c:pt>
                <c:pt idx="9">
                  <c:v>-227.159374692432</c:v>
                </c:pt>
                <c:pt idx="10">
                  <c:v>346.707546549354</c:v>
                </c:pt>
                <c:pt idx="11">
                  <c:v>1058.97731165276</c:v>
                </c:pt>
                <c:pt idx="12">
                  <c:v>1918.76425276685</c:v>
                </c:pt>
                <c:pt idx="13">
                  <c:v>2935.68230244727</c:v>
                </c:pt>
                <c:pt idx="14">
                  <c:v>4119.87085135257</c:v>
                </c:pt>
                <c:pt idx="15">
                  <c:v>5482.02191637878</c:v>
                </c:pt>
                <c:pt idx="16">
                  <c:v>7033.40868510547</c:v>
                </c:pt>
                <c:pt idx="17">
                  <c:v>8785.91550572665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"Базовый"</c:f>
              <c:strCache>
                <c:ptCount val="1"/>
                <c:pt idx="0">
                  <c:v>Базовый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'Модель 18 мес'!$C$5:$T$5</c:f>
              <c:multiLvlStrCache>
                <c:ptCount val="1"/>
                <c:lvl>
                  <c:pt idx="0">
                    <c:v>М18</c:v>
                  </c:pt>
                </c:lvl>
                <c:lvl>
                  <c:pt idx="0">
                    <c:v>М17</c:v>
                  </c:pt>
                </c:lvl>
                <c:lvl>
                  <c:pt idx="0">
                    <c:v>М16</c:v>
                  </c:pt>
                </c:lvl>
                <c:lvl>
                  <c:pt idx="0">
                    <c:v>М15</c:v>
                  </c:pt>
                </c:lvl>
                <c:lvl>
                  <c:pt idx="0">
                    <c:v>М14</c:v>
                  </c:pt>
                </c:lvl>
                <c:lvl>
                  <c:pt idx="0">
                    <c:v>М13</c:v>
                  </c:pt>
                </c:lvl>
                <c:lvl>
                  <c:pt idx="0">
                    <c:v>М12</c:v>
                  </c:pt>
                </c:lvl>
                <c:lvl>
                  <c:pt idx="0">
                    <c:v>М11</c:v>
                  </c:pt>
                </c:lvl>
                <c:lvl>
                  <c:pt idx="0">
                    <c:v>М10</c:v>
                  </c:pt>
                </c:lvl>
                <c:lvl>
                  <c:pt idx="0">
                    <c:v>М9</c:v>
                  </c:pt>
                </c:lvl>
                <c:lvl>
                  <c:pt idx="0">
                    <c:v>М8</c:v>
                  </c:pt>
                </c:lvl>
                <c:lvl>
                  <c:pt idx="0">
                    <c:v>М7</c:v>
                  </c:pt>
                </c:lvl>
                <c:lvl>
                  <c:pt idx="0">
                    <c:v>М6</c:v>
                  </c:pt>
                </c:lvl>
                <c:lvl>
                  <c:pt idx="0">
                    <c:v>М5</c:v>
                  </c:pt>
                </c:lvl>
                <c:lvl>
                  <c:pt idx="0">
                    <c:v>М4</c:v>
                  </c:pt>
                </c:lvl>
                <c:lvl>
                  <c:pt idx="0">
                    <c:v>М3</c:v>
                  </c:pt>
                </c:lvl>
                <c:lvl>
                  <c:pt idx="0">
                    <c:v>М2</c:v>
                  </c:pt>
                </c:lvl>
                <c:lvl>
                  <c:pt idx="0">
                    <c:v>М1</c:v>
                  </c:pt>
                </c:lvl>
              </c:multiLvlStrCache>
            </c:multiLvlStrRef>
          </c:cat>
          <c:val>
            <c:numRef>
              <c:f>'Модель 18 мес'!$C$58:$T$58</c:f>
              <c:numCache>
                <c:formatCode>General</c:formatCode>
                <c:ptCount val="18"/>
                <c:pt idx="0">
                  <c:v>10599.2</c:v>
                </c:pt>
                <c:pt idx="1">
                  <c:v>22897.52</c:v>
                </c:pt>
                <c:pt idx="2">
                  <c:v>37069.672</c:v>
                </c:pt>
                <c:pt idx="3">
                  <c:v>52908.7352</c:v>
                </c:pt>
                <c:pt idx="4">
                  <c:v>70586.39464</c:v>
                </c:pt>
                <c:pt idx="5">
                  <c:v>90291.6037424</c:v>
                </c:pt>
                <c:pt idx="6">
                  <c:v>112232.313147808</c:v>
                </c:pt>
                <c:pt idx="7">
                  <c:v>136637.37247438</c:v>
                </c:pt>
                <c:pt idx="8">
                  <c:v>163758.622293845</c:v>
                </c:pt>
                <c:pt idx="9">
                  <c:v>193873.195346698</c:v>
                </c:pt>
                <c:pt idx="10">
                  <c:v>227286.047921305</c:v>
                </c:pt>
                <c:pt idx="11">
                  <c:v>264332.744414171</c:v>
                </c:pt>
                <c:pt idx="12">
                  <c:v>305382.520390339</c:v>
                </c:pt>
                <c:pt idx="13">
                  <c:v>350841.651994818</c:v>
                </c:pt>
                <c:pt idx="14">
                  <c:v>401157.162351054</c:v>
                </c:pt>
                <c:pt idx="15">
                  <c:v>456820.898646049</c:v>
                </c:pt>
                <c:pt idx="16">
                  <c:v>518374.016971742</c:v>
                </c:pt>
                <c:pt idx="17">
                  <c:v>586411.915699225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"Оптимистичный"</c:f>
              <c:strCache>
                <c:ptCount val="1"/>
                <c:pt idx="0">
                  <c:v>Оптимистичный</c:v>
                </c:pt>
              </c:strCache>
            </c:strRef>
          </c:tx>
          <c:spPr>
            <a:solidFill>
              <a:srgbClr val="c0d2a7"/>
            </a:solidFill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'Модель 18 мес'!$C$5:$T$5</c:f>
              <c:multiLvlStrCache>
                <c:ptCount val="1"/>
                <c:lvl>
                  <c:pt idx="0">
                    <c:v>М18</c:v>
                  </c:pt>
                </c:lvl>
                <c:lvl>
                  <c:pt idx="0">
                    <c:v>М17</c:v>
                  </c:pt>
                </c:lvl>
                <c:lvl>
                  <c:pt idx="0">
                    <c:v>М16</c:v>
                  </c:pt>
                </c:lvl>
                <c:lvl>
                  <c:pt idx="0">
                    <c:v>М15</c:v>
                  </c:pt>
                </c:lvl>
                <c:lvl>
                  <c:pt idx="0">
                    <c:v>М14</c:v>
                  </c:pt>
                </c:lvl>
                <c:lvl>
                  <c:pt idx="0">
                    <c:v>М13</c:v>
                  </c:pt>
                </c:lvl>
                <c:lvl>
                  <c:pt idx="0">
                    <c:v>М12</c:v>
                  </c:pt>
                </c:lvl>
                <c:lvl>
                  <c:pt idx="0">
                    <c:v>М11</c:v>
                  </c:pt>
                </c:lvl>
                <c:lvl>
                  <c:pt idx="0">
                    <c:v>М10</c:v>
                  </c:pt>
                </c:lvl>
                <c:lvl>
                  <c:pt idx="0">
                    <c:v>М9</c:v>
                  </c:pt>
                </c:lvl>
                <c:lvl>
                  <c:pt idx="0">
                    <c:v>М8</c:v>
                  </c:pt>
                </c:lvl>
                <c:lvl>
                  <c:pt idx="0">
                    <c:v>М7</c:v>
                  </c:pt>
                </c:lvl>
                <c:lvl>
                  <c:pt idx="0">
                    <c:v>М6</c:v>
                  </c:pt>
                </c:lvl>
                <c:lvl>
                  <c:pt idx="0">
                    <c:v>М5</c:v>
                  </c:pt>
                </c:lvl>
                <c:lvl>
                  <c:pt idx="0">
                    <c:v>М4</c:v>
                  </c:pt>
                </c:lvl>
                <c:lvl>
                  <c:pt idx="0">
                    <c:v>М3</c:v>
                  </c:pt>
                </c:lvl>
                <c:lvl>
                  <c:pt idx="0">
                    <c:v>М2</c:v>
                  </c:pt>
                </c:lvl>
                <c:lvl>
                  <c:pt idx="0">
                    <c:v>М1</c:v>
                  </c:pt>
                </c:lvl>
              </c:multiLvlStrCache>
            </c:multiLvlStrRef>
          </c:cat>
          <c:val>
            <c:numRef>
              <c:f>'Модель 18 мес'!$C$59:$T$59</c:f>
              <c:numCache>
                <c:formatCode>General</c:formatCode>
                <c:ptCount val="18"/>
                <c:pt idx="0">
                  <c:v>36129.36</c:v>
                </c:pt>
                <c:pt idx="1">
                  <c:v>79517.484</c:v>
                </c:pt>
                <c:pt idx="2">
                  <c:v>131260.9866</c:v>
                </c:pt>
                <c:pt idx="3">
                  <c:v>192621.13059</c:v>
                </c:pt>
                <c:pt idx="4">
                  <c:v>263599.1672985</c:v>
                </c:pt>
                <c:pt idx="5">
                  <c:v>345646.058055675</c:v>
                </c:pt>
                <c:pt idx="6">
                  <c:v>440430.573939674</c:v>
                </c:pt>
                <c:pt idx="7">
                  <c:v>549871.970549786</c:v>
                </c:pt>
                <c:pt idx="8">
                  <c:v>676177.564061798</c:v>
                </c:pt>
                <c:pt idx="9">
                  <c:v>821885.943759203</c:v>
                </c:pt>
                <c:pt idx="10">
                  <c:v>989916.666512981</c:v>
                </c:pt>
                <c:pt idx="11">
                  <c:v>1183627.40550362</c:v>
                </c:pt>
                <c:pt idx="12">
                  <c:v>1406879.67132314</c:v>
                </c:pt>
                <c:pt idx="13">
                  <c:v>1664114.39131546</c:v>
                </c:pt>
                <c:pt idx="14">
                  <c:v>1960438.8258925</c:v>
                </c:pt>
                <c:pt idx="15">
                  <c:v>2301726.5223737</c:v>
                </c:pt>
                <c:pt idx="16">
                  <c:v>2694732.26197902</c:v>
                </c:pt>
                <c:pt idx="17">
                  <c:v>3147224.24895012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705982"/>
        <c:axId val="64868521"/>
      </c:lineChart>
      <c:catAx>
        <c:axId val="577059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68521"/>
        <c:crosses val="autoZero"/>
        <c:auto val="1"/>
        <c:lblAlgn val="ctr"/>
        <c:lblOffset val="100"/>
        <c:noMultiLvlLbl val="0"/>
      </c:catAx>
      <c:valAx>
        <c:axId val="64868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05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4</xdr:col>
      <xdr:colOff>1107720</xdr:colOff>
      <xdr:row>35</xdr:row>
      <xdr:rowOff>21960</xdr:rowOff>
    </xdr:to>
    <xdr:graphicFrame>
      <xdr:nvGraphicFramePr>
        <xdr:cNvPr id="0" name="Chart 1"/>
        <xdr:cNvGraphicFramePr/>
      </xdr:nvGraphicFramePr>
      <xdr:xfrm>
        <a:off x="141120" y="3971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61</xdr:row>
      <xdr:rowOff>0</xdr:rowOff>
    </xdr:from>
    <xdr:to>
      <xdr:col>10</xdr:col>
      <xdr:colOff>40680</xdr:colOff>
      <xdr:row>78</xdr:row>
      <xdr:rowOff>1080</xdr:rowOff>
    </xdr:to>
    <xdr:graphicFrame>
      <xdr:nvGraphicFramePr>
        <xdr:cNvPr id="1" name="Chart 1"/>
        <xdr:cNvGraphicFramePr/>
      </xdr:nvGraphicFramePr>
      <xdr:xfrm>
        <a:off x="141120" y="1178244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5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0" t="s">
        <v>3</v>
      </c>
      <c r="C7" s="4" t="n">
        <f aca="false">Допущения!D5</f>
        <v>99</v>
      </c>
    </row>
    <row r="8" customFormat="false" ht="15" hidden="false" customHeight="false" outlineLevel="0" collapsed="false">
      <c r="B8" s="0" t="s">
        <v>4</v>
      </c>
      <c r="C8" s="4" t="n">
        <f aca="false">Допущения!D6</f>
        <v>7.99</v>
      </c>
    </row>
    <row r="9" customFormat="false" ht="15" hidden="false" customHeight="false" outlineLevel="0" collapsed="false">
      <c r="B9" s="0" t="s">
        <v>5</v>
      </c>
      <c r="C9" s="4" t="n">
        <f aca="false">'Юнит-экономика'!C16</f>
        <v>108.588</v>
      </c>
    </row>
    <row r="10" customFormat="false" ht="15" hidden="false" customHeight="false" outlineLevel="0" collapsed="false">
      <c r="B10" s="0" t="s">
        <v>6</v>
      </c>
      <c r="C10" s="4" t="n">
        <f aca="false">'Юнит-экономика'!C17</f>
        <v>30</v>
      </c>
    </row>
    <row r="11" customFormat="false" ht="15" hidden="false" customHeight="false" outlineLevel="0" collapsed="false">
      <c r="B11" s="0" t="s">
        <v>7</v>
      </c>
      <c r="C11" s="5" t="n">
        <f aca="false">'Юнит-экономика'!C18</f>
        <v>3.6196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0" t="s">
        <v>9</v>
      </c>
      <c r="C14" s="0" t="s">
        <v>10</v>
      </c>
    </row>
    <row r="15" customFormat="false" ht="15" hidden="false" customHeight="false" outlineLevel="0" collapsed="false">
      <c r="B15" s="0" t="s">
        <v>11</v>
      </c>
      <c r="C15" s="0" t="s">
        <v>12</v>
      </c>
    </row>
    <row r="16" customFormat="false" ht="15" hidden="false" customHeight="false" outlineLevel="0" collapsed="false">
      <c r="B16" s="0" t="s">
        <v>13</v>
      </c>
      <c r="C16" s="0" t="s">
        <v>14</v>
      </c>
    </row>
    <row r="17" customFormat="false" ht="15" hidden="false" customHeight="false" outlineLevel="0" collapsed="false">
      <c r="B17" s="0" t="s">
        <v>15</v>
      </c>
      <c r="C17" s="0" t="s">
        <v>16</v>
      </c>
    </row>
    <row r="19" customFormat="false" ht="15" hidden="false" customHeight="false" outlineLevel="0" collapsed="false">
      <c r="B19" s="6" t="s">
        <v>17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34"/>
  </cols>
  <sheetData>
    <row r="2" customFormat="false" ht="27.75" hidden="false" customHeight="true" outlineLevel="0" collapsed="false">
      <c r="B2" s="7" t="s">
        <v>18</v>
      </c>
      <c r="C2" s="7"/>
      <c r="D2" s="7"/>
      <c r="E2" s="7"/>
      <c r="F2" s="7"/>
    </row>
    <row r="4" customFormat="false" ht="15" hidden="false" customHeight="false" outlineLevel="0" collapsed="false"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</row>
    <row r="5" customFormat="false" ht="15" hidden="false" customHeight="false" outlineLevel="0" collapsed="false">
      <c r="B5" s="0" t="s">
        <v>24</v>
      </c>
      <c r="C5" s="9" t="n">
        <v>99</v>
      </c>
      <c r="D5" s="9" t="n">
        <v>99</v>
      </c>
      <c r="E5" s="9" t="n">
        <v>99</v>
      </c>
      <c r="F5" s="0" t="s">
        <v>25</v>
      </c>
    </row>
    <row r="6" customFormat="false" ht="15" hidden="false" customHeight="false" outlineLevel="0" collapsed="false">
      <c r="B6" s="0" t="s">
        <v>26</v>
      </c>
      <c r="C6" s="10" t="n">
        <v>7.99</v>
      </c>
      <c r="D6" s="10" t="n">
        <v>7.99</v>
      </c>
      <c r="E6" s="10" t="n">
        <v>7.99</v>
      </c>
      <c r="F6" s="0" t="s">
        <v>25</v>
      </c>
    </row>
    <row r="7" customFormat="false" ht="15" hidden="false" customHeight="false" outlineLevel="0" collapsed="false">
      <c r="B7" s="0" t="s">
        <v>27</v>
      </c>
      <c r="C7" s="11" t="n">
        <v>0.01</v>
      </c>
      <c r="D7" s="11" t="n">
        <v>0.025</v>
      </c>
      <c r="E7" s="11" t="n">
        <v>0.04</v>
      </c>
      <c r="F7" s="0" t="s">
        <v>28</v>
      </c>
    </row>
    <row r="8" customFormat="false" ht="15" hidden="false" customHeight="false" outlineLevel="0" collapsed="false">
      <c r="B8" s="0" t="s">
        <v>29</v>
      </c>
      <c r="C8" s="11" t="n">
        <v>0.25</v>
      </c>
      <c r="D8" s="11" t="n">
        <v>0.4</v>
      </c>
      <c r="E8" s="11" t="n">
        <v>0.55</v>
      </c>
      <c r="F8" s="0" t="s">
        <v>30</v>
      </c>
    </row>
    <row r="9" customFormat="false" ht="15" hidden="false" customHeight="false" outlineLevel="0" collapsed="false">
      <c r="B9" s="0" t="s">
        <v>31</v>
      </c>
      <c r="C9" s="12" t="n">
        <v>2</v>
      </c>
      <c r="D9" s="12" t="n">
        <v>3</v>
      </c>
      <c r="E9" s="12" t="n">
        <v>4</v>
      </c>
      <c r="F9" s="0" t="s">
        <v>32</v>
      </c>
    </row>
    <row r="10" customFormat="false" ht="15" hidden="false" customHeight="false" outlineLevel="0" collapsed="false">
      <c r="B10" s="0" t="s">
        <v>33</v>
      </c>
      <c r="C10" s="12" t="n">
        <v>5000</v>
      </c>
      <c r="D10" s="12" t="n">
        <v>8000</v>
      </c>
      <c r="E10" s="12" t="n">
        <v>12000</v>
      </c>
      <c r="F10" s="0" t="s">
        <v>34</v>
      </c>
    </row>
    <row r="11" customFormat="false" ht="15" hidden="false" customHeight="false" outlineLevel="0" collapsed="false">
      <c r="B11" s="0" t="s">
        <v>35</v>
      </c>
      <c r="C11" s="11" t="n">
        <v>0.05</v>
      </c>
      <c r="D11" s="11" t="n">
        <v>0.1</v>
      </c>
      <c r="E11" s="11" t="n">
        <v>0.15</v>
      </c>
      <c r="F11" s="0" t="s">
        <v>36</v>
      </c>
    </row>
    <row r="12" customFormat="false" ht="15" hidden="false" customHeight="false" outlineLevel="0" collapsed="false">
      <c r="B12" s="0" t="s">
        <v>37</v>
      </c>
      <c r="C12" s="9" t="n">
        <v>45</v>
      </c>
      <c r="D12" s="9" t="n">
        <v>30</v>
      </c>
      <c r="E12" s="9" t="n">
        <v>18</v>
      </c>
      <c r="F12" s="0" t="s">
        <v>38</v>
      </c>
    </row>
    <row r="13" customFormat="false" ht="15" hidden="false" customHeight="false" outlineLevel="0" collapsed="false">
      <c r="B13" s="0" t="s">
        <v>39</v>
      </c>
      <c r="C13" s="9" t="n">
        <v>4</v>
      </c>
      <c r="D13" s="9" t="n">
        <v>3</v>
      </c>
      <c r="E13" s="10" t="n">
        <v>2.5</v>
      </c>
      <c r="F13" s="0" t="s">
        <v>40</v>
      </c>
    </row>
    <row r="14" customFormat="false" ht="15" hidden="false" customHeight="false" outlineLevel="0" collapsed="false">
      <c r="B14" s="0" t="s">
        <v>41</v>
      </c>
      <c r="C14" s="9" t="n">
        <v>3000</v>
      </c>
      <c r="D14" s="9" t="n">
        <v>3000</v>
      </c>
      <c r="E14" s="9" t="n">
        <v>3000</v>
      </c>
      <c r="F14" s="0" t="s">
        <v>42</v>
      </c>
    </row>
    <row r="15" customFormat="false" ht="15" hidden="false" customHeight="false" outlineLevel="0" collapsed="false">
      <c r="B15" s="0" t="s">
        <v>43</v>
      </c>
      <c r="C15" s="11" t="n">
        <v>0.02</v>
      </c>
      <c r="D15" s="11" t="n">
        <v>0.02</v>
      </c>
      <c r="E15" s="11" t="n">
        <v>0.02</v>
      </c>
      <c r="F15" s="0" t="s">
        <v>44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4"/>
  </cols>
  <sheetData>
    <row r="2" customFormat="false" ht="27.75" hidden="false" customHeight="true" outlineLevel="0" collapsed="false">
      <c r="B2" s="7" t="s">
        <v>45</v>
      </c>
      <c r="C2" s="7"/>
      <c r="D2" s="7"/>
      <c r="E2" s="7"/>
      <c r="F2" s="7"/>
    </row>
    <row r="4" customFormat="false" ht="15" hidden="false" customHeight="false" outlineLevel="0" collapsed="false">
      <c r="B4" s="8" t="s">
        <v>46</v>
      </c>
      <c r="C4" s="8" t="s">
        <v>20</v>
      </c>
      <c r="D4" s="8" t="s">
        <v>21</v>
      </c>
      <c r="E4" s="8" t="s">
        <v>22</v>
      </c>
      <c r="F4" s="8" t="s">
        <v>47</v>
      </c>
    </row>
    <row r="5" customFormat="false" ht="15" hidden="false" customHeight="false" outlineLevel="0" collapsed="false">
      <c r="B5" s="0" t="s">
        <v>48</v>
      </c>
      <c r="C5" s="13" t="n">
        <f aca="false">Допущения!C5</f>
        <v>99</v>
      </c>
      <c r="D5" s="13" t="n">
        <f aca="false">Допущения!D5</f>
        <v>99</v>
      </c>
      <c r="E5" s="13" t="n">
        <f aca="false">Допущения!E5</f>
        <v>99</v>
      </c>
      <c r="F5" s="6" t="s">
        <v>49</v>
      </c>
    </row>
    <row r="6" customFormat="false" ht="15" hidden="false" customHeight="false" outlineLevel="0" collapsed="false">
      <c r="B6" s="0" t="s">
        <v>50</v>
      </c>
      <c r="C6" s="13" t="n">
        <f aca="false">Допущения!C6*Допущения!C8*Допущения!C9</f>
        <v>3.995</v>
      </c>
      <c r="D6" s="13" t="n">
        <f aca="false">Допущения!D6*Допущения!D8*Допущения!D9</f>
        <v>9.588</v>
      </c>
      <c r="E6" s="13" t="n">
        <f aca="false">Допущения!E6*Допущения!E8*Допущения!E9</f>
        <v>17.578</v>
      </c>
      <c r="F6" s="6" t="s">
        <v>51</v>
      </c>
    </row>
    <row r="7" customFormat="false" ht="15" hidden="false" customHeight="false" outlineLevel="0" collapsed="false">
      <c r="B7" s="0" t="s">
        <v>52</v>
      </c>
      <c r="C7" s="14" t="n">
        <f aca="false">C5+C6</f>
        <v>102.995</v>
      </c>
      <c r="D7" s="14" t="n">
        <f aca="false">D5+D6</f>
        <v>108.588</v>
      </c>
      <c r="E7" s="14" t="n">
        <f aca="false">E5+E6</f>
        <v>116.578</v>
      </c>
      <c r="F7" s="6" t="s">
        <v>53</v>
      </c>
    </row>
    <row r="8" customFormat="false" ht="15" hidden="false" customHeight="false" outlineLevel="0" collapsed="false">
      <c r="B8" s="0" t="s">
        <v>54</v>
      </c>
      <c r="C8" s="13" t="n">
        <f aca="false">Допущения!C13</f>
        <v>4</v>
      </c>
      <c r="D8" s="13" t="n">
        <f aca="false">Допущения!D13</f>
        <v>3</v>
      </c>
      <c r="E8" s="13" t="n">
        <f aca="false">Допущения!E13</f>
        <v>2.5</v>
      </c>
      <c r="F8" s="6" t="s">
        <v>55</v>
      </c>
    </row>
    <row r="9" customFormat="false" ht="15" hidden="false" customHeight="false" outlineLevel="0" collapsed="false">
      <c r="B9" s="0" t="s">
        <v>56</v>
      </c>
      <c r="C9" s="13" t="n">
        <f aca="false">C7-C8</f>
        <v>98.995</v>
      </c>
      <c r="D9" s="13" t="n">
        <f aca="false">D7-D8</f>
        <v>105.588</v>
      </c>
      <c r="E9" s="13" t="n">
        <f aca="false">E7-E8</f>
        <v>114.078</v>
      </c>
      <c r="F9" s="6" t="s">
        <v>57</v>
      </c>
    </row>
    <row r="10" customFormat="false" ht="15" hidden="false" customHeight="false" outlineLevel="0" collapsed="false">
      <c r="B10" s="0" t="s">
        <v>58</v>
      </c>
      <c r="C10" s="13" t="n">
        <f aca="false">Допущения!C12</f>
        <v>45</v>
      </c>
      <c r="D10" s="13" t="n">
        <f aca="false">Допущения!D12</f>
        <v>30</v>
      </c>
      <c r="E10" s="13" t="n">
        <f aca="false">Допущения!E12</f>
        <v>18</v>
      </c>
      <c r="F10" s="6" t="s">
        <v>59</v>
      </c>
    </row>
    <row r="11" customFormat="false" ht="15" hidden="false" customHeight="false" outlineLevel="0" collapsed="false">
      <c r="B11" s="0" t="s">
        <v>7</v>
      </c>
      <c r="C11" s="15" t="n">
        <f aca="false">C7/C10</f>
        <v>2.28877777777778</v>
      </c>
      <c r="D11" s="15" t="n">
        <f aca="false">D7/D10</f>
        <v>3.6196</v>
      </c>
      <c r="E11" s="15" t="n">
        <f aca="false">E7/E10</f>
        <v>6.47655555555556</v>
      </c>
      <c r="F11" s="6"/>
    </row>
    <row r="12" customFormat="false" ht="15" hidden="false" customHeight="false" outlineLevel="0" collapsed="false">
      <c r="B12" s="0" t="s">
        <v>60</v>
      </c>
      <c r="C12" s="13" t="n">
        <f aca="false">C9-C10</f>
        <v>53.995</v>
      </c>
      <c r="D12" s="13" t="n">
        <f aca="false">D9-D10</f>
        <v>75.588</v>
      </c>
      <c r="E12" s="13" t="n">
        <f aca="false">E9-E10</f>
        <v>96.078</v>
      </c>
      <c r="F12" s="6" t="s">
        <v>61</v>
      </c>
    </row>
    <row r="15" customFormat="false" ht="15" hidden="false" customHeight="false" outlineLevel="0" collapsed="false">
      <c r="B15" s="16" t="s">
        <v>62</v>
      </c>
    </row>
    <row r="16" customFormat="false" ht="15" hidden="false" customHeight="false" outlineLevel="0" collapsed="false">
      <c r="B16" s="0" t="s">
        <v>63</v>
      </c>
      <c r="C16" s="4" t="n">
        <f aca="false">D7</f>
        <v>108.588</v>
      </c>
    </row>
    <row r="17" customFormat="false" ht="15" hidden="false" customHeight="false" outlineLevel="0" collapsed="false">
      <c r="B17" s="0" t="s">
        <v>6</v>
      </c>
      <c r="C17" s="4" t="n">
        <f aca="false">D10</f>
        <v>30</v>
      </c>
    </row>
    <row r="18" customFormat="false" ht="15" hidden="false" customHeight="false" outlineLevel="0" collapsed="false">
      <c r="B18" s="0" t="s">
        <v>7</v>
      </c>
      <c r="C18" s="5" t="n">
        <f aca="false">D11</f>
        <v>3.6196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20" min="3" style="0" width="11"/>
  </cols>
  <sheetData>
    <row r="2" customFormat="false" ht="27.75" hidden="false" customHeight="true" outlineLevel="0" collapsed="false">
      <c r="B2" s="7" t="s">
        <v>64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15" hidden="false" customHeight="false" outlineLevel="0" collapsed="false">
      <c r="B4" s="3" t="s">
        <v>65</v>
      </c>
    </row>
    <row r="5" customFormat="false" ht="15" hidden="false" customHeight="false" outlineLevel="0" collapsed="false">
      <c r="B5" s="8" t="s">
        <v>46</v>
      </c>
      <c r="C5" s="8" t="s">
        <v>66</v>
      </c>
      <c r="D5" s="8" t="s">
        <v>67</v>
      </c>
      <c r="E5" s="8" t="s">
        <v>68</v>
      </c>
      <c r="F5" s="8" t="s">
        <v>69</v>
      </c>
      <c r="G5" s="8" t="s">
        <v>70</v>
      </c>
      <c r="H5" s="8" t="s">
        <v>71</v>
      </c>
      <c r="I5" s="8" t="s">
        <v>72</v>
      </c>
      <c r="J5" s="8" t="s">
        <v>73</v>
      </c>
      <c r="K5" s="8" t="s">
        <v>74</v>
      </c>
      <c r="L5" s="8" t="s">
        <v>75</v>
      </c>
      <c r="M5" s="8" t="s">
        <v>76</v>
      </c>
      <c r="N5" s="8" t="s">
        <v>77</v>
      </c>
      <c r="O5" s="8" t="s">
        <v>78</v>
      </c>
      <c r="P5" s="8" t="s">
        <v>79</v>
      </c>
      <c r="Q5" s="8" t="s">
        <v>80</v>
      </c>
      <c r="R5" s="8" t="s">
        <v>81</v>
      </c>
      <c r="S5" s="8" t="s">
        <v>82</v>
      </c>
      <c r="T5" s="8" t="s">
        <v>83</v>
      </c>
    </row>
    <row r="6" customFormat="false" ht="15" hidden="false" customHeight="false" outlineLevel="0" collapsed="false">
      <c r="B6" s="0" t="s">
        <v>84</v>
      </c>
      <c r="C6" s="17" t="n">
        <f aca="false">Допущения!C10</f>
        <v>5000</v>
      </c>
      <c r="D6" s="17" t="n">
        <f aca="false">C6*(1+Допущения!C11)</f>
        <v>5250</v>
      </c>
      <c r="E6" s="17" t="n">
        <f aca="false">D6*(1+Допущения!C11)</f>
        <v>5512.5</v>
      </c>
      <c r="F6" s="17" t="n">
        <f aca="false">E6*(1+Допущения!C11)</f>
        <v>5788.125</v>
      </c>
      <c r="G6" s="17" t="n">
        <f aca="false">F6*(1+Допущения!C11)</f>
        <v>6077.53125</v>
      </c>
      <c r="H6" s="17" t="n">
        <f aca="false">G6*(1+Допущения!C11)</f>
        <v>6381.4078125</v>
      </c>
      <c r="I6" s="17" t="n">
        <f aca="false">H6*(1+Допущения!C11)</f>
        <v>6700.478203125</v>
      </c>
      <c r="J6" s="17" t="n">
        <f aca="false">I6*(1+Допущения!C11)</f>
        <v>7035.50211328125</v>
      </c>
      <c r="K6" s="17" t="n">
        <f aca="false">J6*(1+Допущения!C11)</f>
        <v>7387.27721894531</v>
      </c>
      <c r="L6" s="17" t="n">
        <f aca="false">K6*(1+Допущения!C11)</f>
        <v>7756.64107989258</v>
      </c>
      <c r="M6" s="17" t="n">
        <f aca="false">L6*(1+Допущения!C11)</f>
        <v>8144.47313388721</v>
      </c>
      <c r="N6" s="17" t="n">
        <f aca="false">M6*(1+Допущения!C11)</f>
        <v>8551.69679058157</v>
      </c>
      <c r="O6" s="17" t="n">
        <f aca="false">N6*(1+Допущения!C11)</f>
        <v>8979.28163011065</v>
      </c>
      <c r="P6" s="17" t="n">
        <f aca="false">O6*(1+Допущения!C11)</f>
        <v>9428.24571161618</v>
      </c>
      <c r="Q6" s="17" t="n">
        <f aca="false">P6*(1+Допущения!C11)</f>
        <v>9899.65799719699</v>
      </c>
      <c r="R6" s="17" t="n">
        <f aca="false">Q6*(1+Допущения!C11)</f>
        <v>10394.6408970568</v>
      </c>
      <c r="S6" s="17" t="n">
        <f aca="false">R6*(1+Допущения!C11)</f>
        <v>10914.3729419097</v>
      </c>
      <c r="T6" s="17" t="n">
        <f aca="false">S6*(1+Допущения!C11)</f>
        <v>11460.0915890052</v>
      </c>
    </row>
    <row r="7" customFormat="false" ht="15" hidden="false" customHeight="false" outlineLevel="0" collapsed="false">
      <c r="B7" s="0" t="s">
        <v>85</v>
      </c>
      <c r="C7" s="17" t="n">
        <f aca="false">C6*Допущения!C7</f>
        <v>50</v>
      </c>
      <c r="D7" s="17" t="n">
        <f aca="false">D6*Допущения!C7</f>
        <v>52.5</v>
      </c>
      <c r="E7" s="17" t="n">
        <f aca="false">E6*Допущения!C7</f>
        <v>55.125</v>
      </c>
      <c r="F7" s="17" t="n">
        <f aca="false">F6*Допущения!C7</f>
        <v>57.88125</v>
      </c>
      <c r="G7" s="17" t="n">
        <f aca="false">G6*Допущения!C7</f>
        <v>60.7753125</v>
      </c>
      <c r="H7" s="17" t="n">
        <f aca="false">H6*Допущения!C7</f>
        <v>63.814078125</v>
      </c>
      <c r="I7" s="17" t="n">
        <f aca="false">I6*Допущения!C7</f>
        <v>67.00478203125</v>
      </c>
      <c r="J7" s="17" t="n">
        <f aca="false">J6*Допущения!C7</f>
        <v>70.3550211328125</v>
      </c>
      <c r="K7" s="17" t="n">
        <f aca="false">K6*Допущения!C7</f>
        <v>73.8727721894531</v>
      </c>
      <c r="L7" s="17" t="n">
        <f aca="false">L6*Допущения!C7</f>
        <v>77.5664107989258</v>
      </c>
      <c r="M7" s="17" t="n">
        <f aca="false">M6*Допущения!C7</f>
        <v>81.4447313388721</v>
      </c>
      <c r="N7" s="17" t="n">
        <f aca="false">N6*Допущения!C7</f>
        <v>85.5169679058157</v>
      </c>
      <c r="O7" s="17" t="n">
        <f aca="false">O6*Допущения!C7</f>
        <v>89.7928163011065</v>
      </c>
      <c r="P7" s="17" t="n">
        <f aca="false">P6*Допущения!C7</f>
        <v>94.2824571161618</v>
      </c>
      <c r="Q7" s="17" t="n">
        <f aca="false">Q6*Допущения!C7</f>
        <v>98.9965799719699</v>
      </c>
      <c r="R7" s="17" t="n">
        <f aca="false">R6*Допущения!C7</f>
        <v>103.946408970568</v>
      </c>
      <c r="S7" s="17" t="n">
        <f aca="false">S6*Допущения!C7</f>
        <v>109.143729419097</v>
      </c>
      <c r="T7" s="17" t="n">
        <f aca="false">T6*Допущения!C7</f>
        <v>114.600915890052</v>
      </c>
    </row>
    <row r="8" customFormat="false" ht="15" hidden="false" customHeight="false" outlineLevel="0" collapsed="false">
      <c r="B8" s="0" t="s">
        <v>86</v>
      </c>
      <c r="C8" s="17" t="n">
        <f aca="false">C7*Допущения!C8</f>
        <v>12.5</v>
      </c>
      <c r="D8" s="17" t="n">
        <f aca="false">D7*Допущения!C8</f>
        <v>13.125</v>
      </c>
      <c r="E8" s="17" t="n">
        <f aca="false">E7*Допущения!C8</f>
        <v>13.78125</v>
      </c>
      <c r="F8" s="17" t="n">
        <f aca="false">F7*Допущения!C8</f>
        <v>14.4703125</v>
      </c>
      <c r="G8" s="17" t="n">
        <f aca="false">G7*Допущения!C8</f>
        <v>15.193828125</v>
      </c>
      <c r="H8" s="17" t="n">
        <f aca="false">H7*Допущения!C8</f>
        <v>15.95351953125</v>
      </c>
      <c r="I8" s="17" t="n">
        <f aca="false">I7*Допущения!C8</f>
        <v>16.7511955078125</v>
      </c>
      <c r="J8" s="17" t="n">
        <f aca="false">J7*Допущения!C8</f>
        <v>17.5887552832031</v>
      </c>
      <c r="K8" s="17" t="n">
        <f aca="false">K7*Допущения!C8</f>
        <v>18.4681930473633</v>
      </c>
      <c r="L8" s="17" t="n">
        <f aca="false">L7*Допущения!C8</f>
        <v>19.3916026997315</v>
      </c>
      <c r="M8" s="17" t="n">
        <f aca="false">M7*Допущения!C8</f>
        <v>20.361182834718</v>
      </c>
      <c r="N8" s="17" t="n">
        <f aca="false">N7*Допущения!C8</f>
        <v>21.3792419764539</v>
      </c>
      <c r="O8" s="17" t="n">
        <f aca="false">O7*Допущения!C8</f>
        <v>22.4482040752766</v>
      </c>
      <c r="P8" s="17" t="n">
        <f aca="false">P7*Допущения!C8</f>
        <v>23.5706142790405</v>
      </c>
      <c r="Q8" s="17" t="n">
        <f aca="false">Q7*Допущения!C8</f>
        <v>24.7491449929925</v>
      </c>
      <c r="R8" s="17" t="n">
        <f aca="false">R7*Допущения!C8</f>
        <v>25.9866022426421</v>
      </c>
      <c r="S8" s="17" t="n">
        <f aca="false">S7*Допущения!C8</f>
        <v>27.2859323547742</v>
      </c>
      <c r="T8" s="17" t="n">
        <f aca="false">T7*Допущения!C8</f>
        <v>28.6502289725129</v>
      </c>
    </row>
    <row r="9" customFormat="false" ht="15" hidden="false" customHeight="false" outlineLevel="0" collapsed="false">
      <c r="B9" s="0" t="s">
        <v>87</v>
      </c>
      <c r="C9" s="17" t="n">
        <f aca="true">SUM(OFFSET(C8,0,-MIN(0,Допущения!C9-1)):C8)</f>
        <v>12.5</v>
      </c>
      <c r="D9" s="17" t="n">
        <f aca="true">SUM(OFFSET(D8,0,-MIN(1,Допущения!C9-1)):D8)</f>
        <v>25.625</v>
      </c>
      <c r="E9" s="17" t="n">
        <f aca="true">SUM(OFFSET(E8,0,-MIN(2,Допущения!C9-1)):E8)</f>
        <v>26.90625</v>
      </c>
      <c r="F9" s="17" t="n">
        <f aca="true">SUM(OFFSET(F8,0,-MIN(3,Допущения!C9-1)):F8)</f>
        <v>28.2515625</v>
      </c>
      <c r="G9" s="17" t="n">
        <f aca="true">SUM(OFFSET(G8,0,-MIN(4,Допущения!C9-1)):G8)</f>
        <v>29.664140625</v>
      </c>
      <c r="H9" s="17" t="n">
        <f aca="true">SUM(OFFSET(H8,0,-MIN(5,Допущения!C9-1)):H8)</f>
        <v>31.14734765625</v>
      </c>
      <c r="I9" s="17" t="n">
        <f aca="true">SUM(OFFSET(I8,0,-MIN(6,Допущения!C9-1)):I8)</f>
        <v>32.7047150390625</v>
      </c>
      <c r="J9" s="17" t="n">
        <f aca="true">SUM(OFFSET(J8,0,-MIN(7,Допущения!C9-1)):J8)</f>
        <v>34.3399507910156</v>
      </c>
      <c r="K9" s="17" t="n">
        <f aca="true">SUM(OFFSET(K8,0,-MIN(8,Допущения!C9-1)):K8)</f>
        <v>36.0569483305664</v>
      </c>
      <c r="L9" s="17" t="n">
        <f aca="true">SUM(OFFSET(L8,0,-MIN(9,Допущения!C9-1)):L8)</f>
        <v>37.8597957470947</v>
      </c>
      <c r="M9" s="17" t="n">
        <f aca="true">SUM(OFFSET(M8,0,-MIN(10,Допущения!C9-1)):M8)</f>
        <v>39.7527855344495</v>
      </c>
      <c r="N9" s="17" t="n">
        <f aca="true">SUM(OFFSET(N8,0,-MIN(11,Допущения!C9-1)):N8)</f>
        <v>41.740424811172</v>
      </c>
      <c r="O9" s="17" t="n">
        <f aca="true">SUM(OFFSET(O8,0,-MIN(12,Допущения!C9-1)):O8)</f>
        <v>43.8274460517306</v>
      </c>
      <c r="P9" s="17" t="n">
        <f aca="true">SUM(OFFSET(P8,0,-MIN(13,Допущения!C9-1)):P8)</f>
        <v>46.0188183543171</v>
      </c>
      <c r="Q9" s="17" t="n">
        <f aca="true">SUM(OFFSET(Q8,0,-MIN(14,Допущения!C9-1)):Q8)</f>
        <v>48.3197592720329</v>
      </c>
      <c r="R9" s="17" t="n">
        <f aca="true">SUM(OFFSET(R8,0,-MIN(15,Допущения!C9-1)):R8)</f>
        <v>50.7357472356346</v>
      </c>
      <c r="S9" s="17" t="n">
        <f aca="true">SUM(OFFSET(S8,0,-MIN(16,Допущения!C9-1)):S8)</f>
        <v>53.2725345974163</v>
      </c>
      <c r="T9" s="17" t="n">
        <f aca="true">SUM(OFFSET(T8,0,-MIN(17,Допущения!C9-1)):T8)</f>
        <v>55.9361613272871</v>
      </c>
    </row>
    <row r="10" customFormat="false" ht="15" hidden="false" customHeight="false" outlineLevel="0" collapsed="false">
      <c r="B10" s="0" t="s">
        <v>88</v>
      </c>
      <c r="C10" s="18" t="n">
        <f aca="false">C7*Допущения!C5</f>
        <v>4950</v>
      </c>
      <c r="D10" s="18" t="n">
        <f aca="false">D7*Допущения!C5</f>
        <v>5197.5</v>
      </c>
      <c r="E10" s="18" t="n">
        <f aca="false">E7*Допущения!C5</f>
        <v>5457.375</v>
      </c>
      <c r="F10" s="18" t="n">
        <f aca="false">F7*Допущения!C5</f>
        <v>5730.24375</v>
      </c>
      <c r="G10" s="18" t="n">
        <f aca="false">G7*Допущения!C5</f>
        <v>6016.7559375</v>
      </c>
      <c r="H10" s="18" t="n">
        <f aca="false">H7*Допущения!C5</f>
        <v>6317.593734375</v>
      </c>
      <c r="I10" s="18" t="n">
        <f aca="false">I7*Допущения!C5</f>
        <v>6633.47342109375</v>
      </c>
      <c r="J10" s="18" t="n">
        <f aca="false">J7*Допущения!C5</f>
        <v>6965.14709214844</v>
      </c>
      <c r="K10" s="18" t="n">
        <f aca="false">K7*Допущения!C5</f>
        <v>7313.40444675586</v>
      </c>
      <c r="L10" s="18" t="n">
        <f aca="false">L7*Допущения!C5</f>
        <v>7679.07466909365</v>
      </c>
      <c r="M10" s="18" t="n">
        <f aca="false">M7*Допущения!C5</f>
        <v>8063.02840254834</v>
      </c>
      <c r="N10" s="18" t="n">
        <f aca="false">N7*Допущения!C5</f>
        <v>8466.17982267575</v>
      </c>
      <c r="O10" s="18" t="n">
        <f aca="false">O7*Допущения!C5</f>
        <v>8889.48881380954</v>
      </c>
      <c r="P10" s="18" t="n">
        <f aca="false">P7*Допущения!C5</f>
        <v>9333.96325450002</v>
      </c>
      <c r="Q10" s="18" t="n">
        <f aca="false">Q7*Допущения!C5</f>
        <v>9800.66141722502</v>
      </c>
      <c r="R10" s="18" t="n">
        <f aca="false">R7*Допущения!C5</f>
        <v>10290.6944880863</v>
      </c>
      <c r="S10" s="18" t="n">
        <f aca="false">S7*Допущения!C5</f>
        <v>10805.2292124906</v>
      </c>
      <c r="T10" s="18" t="n">
        <f aca="false">T7*Допущения!C5</f>
        <v>11345.4906731151</v>
      </c>
    </row>
    <row r="11" customFormat="false" ht="15" hidden="false" customHeight="false" outlineLevel="0" collapsed="false">
      <c r="B11" s="0" t="s">
        <v>89</v>
      </c>
      <c r="C11" s="18" t="n">
        <f aca="false">C9*Допущения!C6</f>
        <v>99.875</v>
      </c>
      <c r="D11" s="18" t="n">
        <f aca="false">D9*Допущения!C6</f>
        <v>204.74375</v>
      </c>
      <c r="E11" s="18" t="n">
        <f aca="false">E9*Допущения!C6</f>
        <v>214.9809375</v>
      </c>
      <c r="F11" s="18" t="n">
        <f aca="false">F9*Допущения!C6</f>
        <v>225.729984375</v>
      </c>
      <c r="G11" s="18" t="n">
        <f aca="false">G9*Допущения!C6</f>
        <v>237.01648359375</v>
      </c>
      <c r="H11" s="18" t="n">
        <f aca="false">H9*Допущения!C6</f>
        <v>248.867307773438</v>
      </c>
      <c r="I11" s="18" t="n">
        <f aca="false">I9*Допущения!C6</f>
        <v>261.310673162109</v>
      </c>
      <c r="J11" s="18" t="n">
        <f aca="false">J9*Допущения!C6</f>
        <v>274.376206820215</v>
      </c>
      <c r="K11" s="18" t="n">
        <f aca="false">K9*Допущения!C6</f>
        <v>288.095017161226</v>
      </c>
      <c r="L11" s="18" t="n">
        <f aca="false">L9*Допущения!C6</f>
        <v>302.499768019287</v>
      </c>
      <c r="M11" s="18" t="n">
        <f aca="false">M9*Допущения!C6</f>
        <v>317.624756420251</v>
      </c>
      <c r="N11" s="18" t="n">
        <f aca="false">N9*Допущения!C6</f>
        <v>333.505994241264</v>
      </c>
      <c r="O11" s="18" t="n">
        <f aca="false">O9*Допущения!C6</f>
        <v>350.181293953327</v>
      </c>
      <c r="P11" s="18" t="n">
        <f aca="false">P9*Допущения!C6</f>
        <v>367.690358650993</v>
      </c>
      <c r="Q11" s="18" t="n">
        <f aca="false">Q9*Допущения!C6</f>
        <v>386.074876583543</v>
      </c>
      <c r="R11" s="18" t="n">
        <f aca="false">R9*Допущения!C6</f>
        <v>405.37862041272</v>
      </c>
      <c r="S11" s="18" t="n">
        <f aca="false">S9*Допущения!C6</f>
        <v>425.647551433356</v>
      </c>
      <c r="T11" s="18" t="n">
        <f aca="false">T9*Допущения!C6</f>
        <v>446.929929005024</v>
      </c>
    </row>
    <row r="12" customFormat="false" ht="15" hidden="false" customHeight="false" outlineLevel="0" collapsed="false">
      <c r="B12" s="0" t="s">
        <v>90</v>
      </c>
      <c r="C12" s="18" t="n">
        <f aca="false">C10+C11</f>
        <v>5049.875</v>
      </c>
      <c r="D12" s="18" t="n">
        <f aca="false">D10+D11</f>
        <v>5402.24375</v>
      </c>
      <c r="E12" s="18" t="n">
        <f aca="false">E10+E11</f>
        <v>5672.3559375</v>
      </c>
      <c r="F12" s="18" t="n">
        <f aca="false">F10+F11</f>
        <v>5955.973734375</v>
      </c>
      <c r="G12" s="18" t="n">
        <f aca="false">G10+G11</f>
        <v>6253.77242109375</v>
      </c>
      <c r="H12" s="18" t="n">
        <f aca="false">H10+H11</f>
        <v>6566.46104214844</v>
      </c>
      <c r="I12" s="18" t="n">
        <f aca="false">I10+I11</f>
        <v>6894.78409425586</v>
      </c>
      <c r="J12" s="18" t="n">
        <f aca="false">J10+J11</f>
        <v>7239.52329896865</v>
      </c>
      <c r="K12" s="18" t="n">
        <f aca="false">K10+K11</f>
        <v>7601.49946391709</v>
      </c>
      <c r="L12" s="18" t="n">
        <f aca="false">L10+L11</f>
        <v>7981.57443711294</v>
      </c>
      <c r="M12" s="18" t="n">
        <f aca="false">M10+M11</f>
        <v>8380.65315896859</v>
      </c>
      <c r="N12" s="18" t="n">
        <f aca="false">N10+N11</f>
        <v>8799.68581691702</v>
      </c>
      <c r="O12" s="18" t="n">
        <f aca="false">O10+O11</f>
        <v>9239.67010776287</v>
      </c>
      <c r="P12" s="18" t="n">
        <f aca="false">P10+P11</f>
        <v>9701.65361315102</v>
      </c>
      <c r="Q12" s="18" t="n">
        <f aca="false">Q10+Q11</f>
        <v>10186.7362938086</v>
      </c>
      <c r="R12" s="18" t="n">
        <f aca="false">R10+R11</f>
        <v>10696.073108499</v>
      </c>
      <c r="S12" s="18" t="n">
        <f aca="false">S10+S11</f>
        <v>11230.8767639239</v>
      </c>
      <c r="T12" s="18" t="n">
        <f aca="false">T10+T11</f>
        <v>11792.4206021201</v>
      </c>
    </row>
    <row r="13" customFormat="false" ht="15" hidden="false" customHeight="false" outlineLevel="0" collapsed="false">
      <c r="B13" s="0" t="s">
        <v>54</v>
      </c>
      <c r="C13" s="18" t="n">
        <f aca="false">(C7+C9)*Допущения!C13</f>
        <v>250</v>
      </c>
      <c r="D13" s="18" t="n">
        <f aca="false">(D7+D9)*Допущения!C13</f>
        <v>312.5</v>
      </c>
      <c r="E13" s="18" t="n">
        <f aca="false">(E7+E9)*Допущения!C13</f>
        <v>328.125</v>
      </c>
      <c r="F13" s="18" t="n">
        <f aca="false">(F7+F9)*Допущения!C13</f>
        <v>344.53125</v>
      </c>
      <c r="G13" s="18" t="n">
        <f aca="false">(G7+G9)*Допущения!C13</f>
        <v>361.7578125</v>
      </c>
      <c r="H13" s="18" t="n">
        <f aca="false">(H7+H9)*Допущения!C13</f>
        <v>379.845703125</v>
      </c>
      <c r="I13" s="18" t="n">
        <f aca="false">(I7+I9)*Допущения!C13</f>
        <v>398.83798828125</v>
      </c>
      <c r="J13" s="18" t="n">
        <f aca="false">(J7+J9)*Допущения!C13</f>
        <v>418.779887695313</v>
      </c>
      <c r="K13" s="18" t="n">
        <f aca="false">(K7+K9)*Допущения!C13</f>
        <v>439.718882080078</v>
      </c>
      <c r="L13" s="18" t="n">
        <f aca="false">(L7+L9)*Допущения!C13</f>
        <v>461.704826184082</v>
      </c>
      <c r="M13" s="18" t="n">
        <f aca="false">(M7+M9)*Допущения!C13</f>
        <v>484.790067493286</v>
      </c>
      <c r="N13" s="18" t="n">
        <f aca="false">(N7+N9)*Допущения!C13</f>
        <v>509.029570867951</v>
      </c>
      <c r="O13" s="18" t="n">
        <f aca="false">(O7+O9)*Допущения!C13</f>
        <v>534.481049411348</v>
      </c>
      <c r="P13" s="18" t="n">
        <f aca="false">(P7+P9)*Допущения!C13</f>
        <v>561.205101881916</v>
      </c>
      <c r="Q13" s="18" t="n">
        <f aca="false">(Q7+Q9)*Допущения!C13</f>
        <v>589.265356976011</v>
      </c>
      <c r="R13" s="18" t="n">
        <f aca="false">(R7+R9)*Допущения!C13</f>
        <v>618.728624824812</v>
      </c>
      <c r="S13" s="18" t="n">
        <f aca="false">(S7+S9)*Допущения!C13</f>
        <v>649.665056066053</v>
      </c>
      <c r="T13" s="18" t="n">
        <f aca="false">(T7+T9)*Допущения!C13</f>
        <v>682.148308869355</v>
      </c>
    </row>
    <row r="14" customFormat="false" ht="15" hidden="false" customHeight="false" outlineLevel="0" collapsed="false">
      <c r="B14" s="0" t="s">
        <v>91</v>
      </c>
      <c r="C14" s="18" t="n">
        <f aca="false">C7*Допущения!C12</f>
        <v>2250</v>
      </c>
      <c r="D14" s="18" t="n">
        <f aca="false">D7*Допущения!C12</f>
        <v>2362.5</v>
      </c>
      <c r="E14" s="18" t="n">
        <f aca="false">E7*Допущения!C12</f>
        <v>2480.625</v>
      </c>
      <c r="F14" s="18" t="n">
        <f aca="false">F7*Допущения!C12</f>
        <v>2604.65625</v>
      </c>
      <c r="G14" s="18" t="n">
        <f aca="false">G7*Допущения!C12</f>
        <v>2734.8890625</v>
      </c>
      <c r="H14" s="18" t="n">
        <f aca="false">H7*Допущения!C12</f>
        <v>2871.633515625</v>
      </c>
      <c r="I14" s="18" t="n">
        <f aca="false">I7*Допущения!C12</f>
        <v>3015.21519140625</v>
      </c>
      <c r="J14" s="18" t="n">
        <f aca="false">J7*Допущения!C12</f>
        <v>3165.97595097656</v>
      </c>
      <c r="K14" s="18" t="n">
        <f aca="false">K7*Допущения!C12</f>
        <v>3324.27474852539</v>
      </c>
      <c r="L14" s="18" t="n">
        <f aca="false">L7*Допущения!C12</f>
        <v>3490.48848595166</v>
      </c>
      <c r="M14" s="18" t="n">
        <f aca="false">M7*Допущения!C12</f>
        <v>3665.01291024924</v>
      </c>
      <c r="N14" s="18" t="n">
        <f aca="false">N7*Допущения!C12</f>
        <v>3848.26355576171</v>
      </c>
      <c r="O14" s="18" t="n">
        <f aca="false">O7*Допущения!C12</f>
        <v>4040.67673354979</v>
      </c>
      <c r="P14" s="18" t="n">
        <f aca="false">P7*Допущения!C12</f>
        <v>4242.71057022728</v>
      </c>
      <c r="Q14" s="18" t="n">
        <f aca="false">Q7*Допущения!C12</f>
        <v>4454.84609873865</v>
      </c>
      <c r="R14" s="18" t="n">
        <f aca="false">R7*Допущения!C12</f>
        <v>4677.58840367558</v>
      </c>
      <c r="S14" s="18" t="n">
        <f aca="false">S7*Допущения!C12</f>
        <v>4911.46782385936</v>
      </c>
      <c r="T14" s="18" t="n">
        <f aca="false">T7*Допущения!C12</f>
        <v>5157.04121505233</v>
      </c>
    </row>
    <row r="15" customFormat="false" ht="15" hidden="false" customHeight="false" outlineLevel="0" collapsed="false">
      <c r="B15" s="0" t="s">
        <v>92</v>
      </c>
      <c r="C15" s="18" t="n">
        <f aca="false">Допущения!C14</f>
        <v>3000</v>
      </c>
      <c r="D15" s="18" t="n">
        <f aca="false">C15*(1+Допущения!C15)</f>
        <v>3060</v>
      </c>
      <c r="E15" s="18" t="n">
        <f aca="false">D15*(1+Допущения!C15)</f>
        <v>3121.2</v>
      </c>
      <c r="F15" s="18" t="n">
        <f aca="false">E15*(1+Допущения!C15)</f>
        <v>3183.624</v>
      </c>
      <c r="G15" s="18" t="n">
        <f aca="false">F15*(1+Допущения!C15)</f>
        <v>3247.29648</v>
      </c>
      <c r="H15" s="18" t="n">
        <f aca="false">G15*(1+Допущения!C15)</f>
        <v>3312.2424096</v>
      </c>
      <c r="I15" s="18" t="n">
        <f aca="false">H15*(1+Допущения!C15)</f>
        <v>3378.487257792</v>
      </c>
      <c r="J15" s="18" t="n">
        <f aca="false">I15*(1+Допущения!C15)</f>
        <v>3446.05700294784</v>
      </c>
      <c r="K15" s="18" t="n">
        <f aca="false">J15*(1+Допущения!C15)</f>
        <v>3514.9781430068</v>
      </c>
      <c r="L15" s="18" t="n">
        <f aca="false">K15*(1+Допущения!C15)</f>
        <v>3585.27770586693</v>
      </c>
      <c r="M15" s="18" t="n">
        <f aca="false">L15*(1+Допущения!C15)</f>
        <v>3656.98325998427</v>
      </c>
      <c r="N15" s="18" t="n">
        <f aca="false">M15*(1+Допущения!C15)</f>
        <v>3730.12292518396</v>
      </c>
      <c r="O15" s="18" t="n">
        <f aca="false">N15*(1+Допущения!C15)</f>
        <v>3804.72538368764</v>
      </c>
      <c r="P15" s="18" t="n">
        <f aca="false">O15*(1+Допущения!C15)</f>
        <v>3880.81989136139</v>
      </c>
      <c r="Q15" s="18" t="n">
        <f aca="false">P15*(1+Допущения!C15)</f>
        <v>3958.43628918862</v>
      </c>
      <c r="R15" s="18" t="n">
        <f aca="false">Q15*(1+Допущения!C15)</f>
        <v>4037.60501497239</v>
      </c>
      <c r="S15" s="18" t="n">
        <f aca="false">R15*(1+Допущения!C15)</f>
        <v>4118.35711527184</v>
      </c>
      <c r="T15" s="18" t="n">
        <f aca="false">S15*(1+Допущения!C15)</f>
        <v>4200.72425757728</v>
      </c>
    </row>
    <row r="16" customFormat="false" ht="15" hidden="false" customHeight="false" outlineLevel="0" collapsed="false">
      <c r="B16" s="0" t="s">
        <v>93</v>
      </c>
      <c r="C16" s="18" t="n">
        <f aca="false">C12-C13-C14-C15</f>
        <v>-450.125</v>
      </c>
      <c r="D16" s="18" t="n">
        <f aca="false">D12-D13-D14-D15</f>
        <v>-332.75625</v>
      </c>
      <c r="E16" s="18" t="n">
        <f aca="false">E12-E13-E14-E15</f>
        <v>-257.5940625</v>
      </c>
      <c r="F16" s="18" t="n">
        <f aca="false">F12-F13-F14-F15</f>
        <v>-176.837765625</v>
      </c>
      <c r="G16" s="18" t="n">
        <f aca="false">G12-G13-G14-G15</f>
        <v>-90.17093390625</v>
      </c>
      <c r="H16" s="18" t="n">
        <f aca="false">H12-H13-H14-H15</f>
        <v>2.73941379843791</v>
      </c>
      <c r="I16" s="18" t="n">
        <f aca="false">I12-I13-I14-I15</f>
        <v>102.243656776359</v>
      </c>
      <c r="J16" s="18" t="n">
        <f aca="false">J12-J13-J14-J15</f>
        <v>208.710457348937</v>
      </c>
      <c r="K16" s="18" t="n">
        <f aca="false">K12-K13-K14-K15</f>
        <v>322.527690304819</v>
      </c>
      <c r="L16" s="18" t="n">
        <f aca="false">L12-L13-L14-L15</f>
        <v>444.103419110265</v>
      </c>
      <c r="M16" s="18" t="n">
        <f aca="false">M12-M13-M14-M15</f>
        <v>573.866921241785</v>
      </c>
      <c r="N16" s="18" t="n">
        <f aca="false">N12-N13-N14-N15</f>
        <v>712.269765103402</v>
      </c>
      <c r="O16" s="18" t="n">
        <f aca="false">O12-O13-O14-O15</f>
        <v>859.786941114091</v>
      </c>
      <c r="P16" s="18" t="n">
        <f aca="false">P12-P13-P14-P15</f>
        <v>1016.91804968043</v>
      </c>
      <c r="Q16" s="18" t="n">
        <f aca="false">Q12-Q13-Q14-Q15</f>
        <v>1184.18854890529</v>
      </c>
      <c r="R16" s="18" t="n">
        <f aca="false">R12-R13-R14-R15</f>
        <v>1362.15106502621</v>
      </c>
      <c r="S16" s="18" t="n">
        <f aca="false">S12-S13-S14-S15</f>
        <v>1551.38676872669</v>
      </c>
      <c r="T16" s="18" t="n">
        <f aca="false">T12-T13-T14-T15</f>
        <v>1752.50682062119</v>
      </c>
    </row>
    <row r="17" customFormat="false" ht="15" hidden="false" customHeight="false" outlineLevel="0" collapsed="false">
      <c r="B17" s="0" t="s">
        <v>94</v>
      </c>
      <c r="C17" s="18" t="n">
        <f aca="false">C16</f>
        <v>-450.125</v>
      </c>
      <c r="D17" s="18" t="n">
        <f aca="false">C17+D16</f>
        <v>-782.88125</v>
      </c>
      <c r="E17" s="18" t="n">
        <f aca="false">D17+E16</f>
        <v>-1040.4753125</v>
      </c>
      <c r="F17" s="18" t="n">
        <f aca="false">E17+F16</f>
        <v>-1217.313078125</v>
      </c>
      <c r="G17" s="18" t="n">
        <f aca="false">F17+G16</f>
        <v>-1307.48401203125</v>
      </c>
      <c r="H17" s="18" t="n">
        <f aca="false">G17+H16</f>
        <v>-1304.74459823281</v>
      </c>
      <c r="I17" s="18" t="n">
        <f aca="false">H17+I16</f>
        <v>-1202.50094145645</v>
      </c>
      <c r="J17" s="18" t="n">
        <f aca="false">I17+J16</f>
        <v>-993.790484107516</v>
      </c>
      <c r="K17" s="18" t="n">
        <f aca="false">J17+K16</f>
        <v>-671.262793802697</v>
      </c>
      <c r="L17" s="18" t="n">
        <f aca="false">K17+L16</f>
        <v>-227.159374692432</v>
      </c>
      <c r="M17" s="18" t="n">
        <f aca="false">L17+M16</f>
        <v>346.707546549354</v>
      </c>
      <c r="N17" s="18" t="n">
        <f aca="false">M17+N16</f>
        <v>1058.97731165276</v>
      </c>
      <c r="O17" s="18" t="n">
        <f aca="false">N17+O16</f>
        <v>1918.76425276685</v>
      </c>
      <c r="P17" s="18" t="n">
        <f aca="false">O17+P16</f>
        <v>2935.68230244727</v>
      </c>
      <c r="Q17" s="18" t="n">
        <f aca="false">P17+Q16</f>
        <v>4119.87085135257</v>
      </c>
      <c r="R17" s="18" t="n">
        <f aca="false">Q17+R16</f>
        <v>5482.02191637878</v>
      </c>
      <c r="S17" s="18" t="n">
        <f aca="false">R17+S16</f>
        <v>7033.40868510547</v>
      </c>
      <c r="T17" s="18" t="n">
        <f aca="false">S17+T16</f>
        <v>8785.91550572665</v>
      </c>
    </row>
    <row r="20" customFormat="false" ht="15" hidden="false" customHeight="false" outlineLevel="0" collapsed="false">
      <c r="B20" s="3" t="s">
        <v>95</v>
      </c>
    </row>
    <row r="21" customFormat="false" ht="15" hidden="false" customHeight="false" outlineLevel="0" collapsed="false">
      <c r="B21" s="8" t="s">
        <v>46</v>
      </c>
      <c r="C21" s="8" t="s">
        <v>66</v>
      </c>
      <c r="D21" s="8" t="s">
        <v>67</v>
      </c>
      <c r="E21" s="8" t="s">
        <v>68</v>
      </c>
      <c r="F21" s="8" t="s">
        <v>69</v>
      </c>
      <c r="G21" s="8" t="s">
        <v>70</v>
      </c>
      <c r="H21" s="8" t="s">
        <v>71</v>
      </c>
      <c r="I21" s="8" t="s">
        <v>72</v>
      </c>
      <c r="J21" s="8" t="s">
        <v>73</v>
      </c>
      <c r="K21" s="8" t="s">
        <v>74</v>
      </c>
      <c r="L21" s="8" t="s">
        <v>75</v>
      </c>
      <c r="M21" s="8" t="s">
        <v>76</v>
      </c>
      <c r="N21" s="8" t="s">
        <v>77</v>
      </c>
      <c r="O21" s="8" t="s">
        <v>78</v>
      </c>
      <c r="P21" s="8" t="s">
        <v>79</v>
      </c>
      <c r="Q21" s="8" t="s">
        <v>80</v>
      </c>
      <c r="R21" s="8" t="s">
        <v>81</v>
      </c>
      <c r="S21" s="8" t="s">
        <v>82</v>
      </c>
      <c r="T21" s="8" t="s">
        <v>83</v>
      </c>
    </row>
    <row r="22" customFormat="false" ht="15" hidden="false" customHeight="false" outlineLevel="0" collapsed="false">
      <c r="B22" s="0" t="s">
        <v>84</v>
      </c>
      <c r="C22" s="17" t="n">
        <f aca="false">Допущения!D10</f>
        <v>8000</v>
      </c>
      <c r="D22" s="17" t="n">
        <f aca="false">C22*(1+Допущения!D11)</f>
        <v>8800</v>
      </c>
      <c r="E22" s="17" t="n">
        <f aca="false">D22*(1+Допущения!D11)</f>
        <v>9680</v>
      </c>
      <c r="F22" s="17" t="n">
        <f aca="false">E22*(1+Допущения!D11)</f>
        <v>10648</v>
      </c>
      <c r="G22" s="17" t="n">
        <f aca="false">F22*(1+Допущения!D11)</f>
        <v>11712.8</v>
      </c>
      <c r="H22" s="17" t="n">
        <f aca="false">G22*(1+Допущения!D11)</f>
        <v>12884.08</v>
      </c>
      <c r="I22" s="17" t="n">
        <f aca="false">H22*(1+Допущения!D11)</f>
        <v>14172.488</v>
      </c>
      <c r="J22" s="17" t="n">
        <f aca="false">I22*(1+Допущения!D11)</f>
        <v>15589.7368</v>
      </c>
      <c r="K22" s="17" t="n">
        <f aca="false">J22*(1+Допущения!D11)</f>
        <v>17148.71048</v>
      </c>
      <c r="L22" s="17" t="n">
        <f aca="false">K22*(1+Допущения!D11)</f>
        <v>18863.581528</v>
      </c>
      <c r="M22" s="17" t="n">
        <f aca="false">L22*(1+Допущения!D11)</f>
        <v>20749.9396808</v>
      </c>
      <c r="N22" s="17" t="n">
        <f aca="false">M22*(1+Допущения!D11)</f>
        <v>22824.93364888</v>
      </c>
      <c r="O22" s="17" t="n">
        <f aca="false">N22*(1+Допущения!D11)</f>
        <v>25107.427013768</v>
      </c>
      <c r="P22" s="17" t="n">
        <f aca="false">O22*(1+Допущения!D11)</f>
        <v>27618.1697151448</v>
      </c>
      <c r="Q22" s="17" t="n">
        <f aca="false">P22*(1+Допущения!D11)</f>
        <v>30379.9866866593</v>
      </c>
      <c r="R22" s="17" t="n">
        <f aca="false">Q22*(1+Допущения!D11)</f>
        <v>33417.9853553252</v>
      </c>
      <c r="S22" s="17" t="n">
        <f aca="false">R22*(1+Допущения!D11)</f>
        <v>36759.7838908578</v>
      </c>
      <c r="T22" s="17" t="n">
        <f aca="false">S22*(1+Допущения!D11)</f>
        <v>40435.7622799435</v>
      </c>
    </row>
    <row r="23" customFormat="false" ht="15" hidden="false" customHeight="false" outlineLevel="0" collapsed="false">
      <c r="B23" s="0" t="s">
        <v>85</v>
      </c>
      <c r="C23" s="17" t="n">
        <f aca="false">C22*Допущения!D7</f>
        <v>200</v>
      </c>
      <c r="D23" s="17" t="n">
        <f aca="false">D22*Допущения!D7</f>
        <v>220</v>
      </c>
      <c r="E23" s="17" t="n">
        <f aca="false">E22*Допущения!D7</f>
        <v>242</v>
      </c>
      <c r="F23" s="17" t="n">
        <f aca="false">F22*Допущения!D7</f>
        <v>266.2</v>
      </c>
      <c r="G23" s="17" t="n">
        <f aca="false">G22*Допущения!D7</f>
        <v>292.82</v>
      </c>
      <c r="H23" s="17" t="n">
        <f aca="false">H22*Допущения!D7</f>
        <v>322.102</v>
      </c>
      <c r="I23" s="17" t="n">
        <f aca="false">I22*Допущения!D7</f>
        <v>354.3122</v>
      </c>
      <c r="J23" s="17" t="n">
        <f aca="false">J22*Допущения!D7</f>
        <v>389.74342</v>
      </c>
      <c r="K23" s="17" t="n">
        <f aca="false">K22*Допущения!D7</f>
        <v>428.717762</v>
      </c>
      <c r="L23" s="17" t="n">
        <f aca="false">L22*Допущения!D7</f>
        <v>471.5895382</v>
      </c>
      <c r="M23" s="17" t="n">
        <f aca="false">M22*Допущения!D7</f>
        <v>518.74849202</v>
      </c>
      <c r="N23" s="17" t="n">
        <f aca="false">N22*Допущения!D7</f>
        <v>570.623341222</v>
      </c>
      <c r="O23" s="17" t="n">
        <f aca="false">O22*Допущения!D7</f>
        <v>627.6856753442</v>
      </c>
      <c r="P23" s="17" t="n">
        <f aca="false">P22*Допущения!D7</f>
        <v>690.45424287862</v>
      </c>
      <c r="Q23" s="17" t="n">
        <f aca="false">Q22*Допущения!D7</f>
        <v>759.499667166483</v>
      </c>
      <c r="R23" s="17" t="n">
        <f aca="false">R22*Допущения!D7</f>
        <v>835.449633883131</v>
      </c>
      <c r="S23" s="17" t="n">
        <f aca="false">S22*Допущения!D7</f>
        <v>918.994597271444</v>
      </c>
      <c r="T23" s="17" t="n">
        <f aca="false">T22*Допущения!D7</f>
        <v>1010.89405699859</v>
      </c>
    </row>
    <row r="24" customFormat="false" ht="15" hidden="false" customHeight="false" outlineLevel="0" collapsed="false">
      <c r="B24" s="0" t="s">
        <v>86</v>
      </c>
      <c r="C24" s="17" t="n">
        <f aca="false">C23*Допущения!D8</f>
        <v>80</v>
      </c>
      <c r="D24" s="17" t="n">
        <f aca="false">D23*Допущения!D8</f>
        <v>88</v>
      </c>
      <c r="E24" s="17" t="n">
        <f aca="false">E23*Допущения!D8</f>
        <v>96.8</v>
      </c>
      <c r="F24" s="17" t="n">
        <f aca="false">F23*Допущения!D8</f>
        <v>106.48</v>
      </c>
      <c r="G24" s="17" t="n">
        <f aca="false">G23*Допущения!D8</f>
        <v>117.128</v>
      </c>
      <c r="H24" s="17" t="n">
        <f aca="false">H23*Допущения!D8</f>
        <v>128.8408</v>
      </c>
      <c r="I24" s="17" t="n">
        <f aca="false">I23*Допущения!D8</f>
        <v>141.72488</v>
      </c>
      <c r="J24" s="17" t="n">
        <f aca="false">J23*Допущения!D8</f>
        <v>155.897368</v>
      </c>
      <c r="K24" s="17" t="n">
        <f aca="false">K23*Допущения!D8</f>
        <v>171.4871048</v>
      </c>
      <c r="L24" s="17" t="n">
        <f aca="false">L23*Допущения!D8</f>
        <v>188.63581528</v>
      </c>
      <c r="M24" s="17" t="n">
        <f aca="false">M23*Допущения!D8</f>
        <v>207.499396808</v>
      </c>
      <c r="N24" s="17" t="n">
        <f aca="false">N23*Допущения!D8</f>
        <v>228.2493364888</v>
      </c>
      <c r="O24" s="17" t="n">
        <f aca="false">O23*Допущения!D8</f>
        <v>251.07427013768</v>
      </c>
      <c r="P24" s="17" t="n">
        <f aca="false">P23*Допущения!D8</f>
        <v>276.181697151448</v>
      </c>
      <c r="Q24" s="17" t="n">
        <f aca="false">Q23*Допущения!D8</f>
        <v>303.799866866593</v>
      </c>
      <c r="R24" s="17" t="n">
        <f aca="false">R23*Допущения!D8</f>
        <v>334.179853553252</v>
      </c>
      <c r="S24" s="17" t="n">
        <f aca="false">S23*Допущения!D8</f>
        <v>367.597838908578</v>
      </c>
      <c r="T24" s="17" t="n">
        <f aca="false">T23*Допущения!D8</f>
        <v>404.357622799435</v>
      </c>
    </row>
    <row r="25" customFormat="false" ht="15" hidden="false" customHeight="false" outlineLevel="0" collapsed="false">
      <c r="B25" s="0" t="s">
        <v>87</v>
      </c>
      <c r="C25" s="17" t="n">
        <f aca="true">SUM(OFFSET(C24,0,-MIN(0,Допущения!D9-1)):C24)</f>
        <v>80</v>
      </c>
      <c r="D25" s="17" t="n">
        <f aca="true">SUM(OFFSET(D24,0,-MIN(1,Допущения!D9-1)):D24)</f>
        <v>168</v>
      </c>
      <c r="E25" s="17" t="n">
        <f aca="true">SUM(OFFSET(E24,0,-MIN(2,Допущения!D9-1)):E24)</f>
        <v>264.8</v>
      </c>
      <c r="F25" s="17" t="n">
        <f aca="true">SUM(OFFSET(F24,0,-MIN(3,Допущения!D9-1)):F24)</f>
        <v>291.28</v>
      </c>
      <c r="G25" s="17" t="n">
        <f aca="true">SUM(OFFSET(G24,0,-MIN(4,Допущения!D9-1)):G24)</f>
        <v>320.408</v>
      </c>
      <c r="H25" s="17" t="n">
        <f aca="true">SUM(OFFSET(H24,0,-MIN(5,Допущения!D9-1)):H24)</f>
        <v>352.4488</v>
      </c>
      <c r="I25" s="17" t="n">
        <f aca="true">SUM(OFFSET(I24,0,-MIN(6,Допущения!D9-1)):I24)</f>
        <v>387.69368</v>
      </c>
      <c r="J25" s="17" t="n">
        <f aca="true">SUM(OFFSET(J24,0,-MIN(7,Допущения!D9-1)):J24)</f>
        <v>426.463048</v>
      </c>
      <c r="K25" s="17" t="n">
        <f aca="true">SUM(OFFSET(K24,0,-MIN(8,Допущения!D9-1)):K24)</f>
        <v>469.1093528</v>
      </c>
      <c r="L25" s="17" t="n">
        <f aca="true">SUM(OFFSET(L24,0,-MIN(9,Допущения!D9-1)):L24)</f>
        <v>516.02028808</v>
      </c>
      <c r="M25" s="17" t="n">
        <f aca="true">SUM(OFFSET(M24,0,-MIN(10,Допущения!D9-1)):M24)</f>
        <v>567.622316888</v>
      </c>
      <c r="N25" s="17" t="n">
        <f aca="true">SUM(OFFSET(N24,0,-MIN(11,Допущения!D9-1)):N24)</f>
        <v>624.3845485768</v>
      </c>
      <c r="O25" s="17" t="n">
        <f aca="true">SUM(OFFSET(O24,0,-MIN(12,Допущения!D9-1)):O24)</f>
        <v>686.82300343448</v>
      </c>
      <c r="P25" s="17" t="n">
        <f aca="true">SUM(OFFSET(P24,0,-MIN(13,Допущения!D9-1)):P24)</f>
        <v>755.505303777929</v>
      </c>
      <c r="Q25" s="17" t="n">
        <f aca="true">SUM(OFFSET(Q24,0,-MIN(14,Допущения!D9-1)):Q24)</f>
        <v>831.055834155721</v>
      </c>
      <c r="R25" s="17" t="n">
        <f aca="true">SUM(OFFSET(R24,0,-MIN(15,Допущения!D9-1)):R24)</f>
        <v>914.161417571294</v>
      </c>
      <c r="S25" s="17" t="n">
        <f aca="true">SUM(OFFSET(S24,0,-MIN(16,Допущения!D9-1)):S24)</f>
        <v>1005.57755932842</v>
      </c>
      <c r="T25" s="17" t="n">
        <f aca="true">SUM(OFFSET(T24,0,-MIN(17,Допущения!D9-1)):T24)</f>
        <v>1106.13531526127</v>
      </c>
    </row>
    <row r="26" customFormat="false" ht="15" hidden="false" customHeight="false" outlineLevel="0" collapsed="false">
      <c r="B26" s="0" t="s">
        <v>88</v>
      </c>
      <c r="C26" s="18" t="n">
        <f aca="false">C23*Допущения!D5</f>
        <v>19800</v>
      </c>
      <c r="D26" s="18" t="n">
        <f aca="false">D23*Допущения!D5</f>
        <v>21780</v>
      </c>
      <c r="E26" s="18" t="n">
        <f aca="false">E23*Допущения!D5</f>
        <v>23958</v>
      </c>
      <c r="F26" s="18" t="n">
        <f aca="false">F23*Допущения!D5</f>
        <v>26353.8</v>
      </c>
      <c r="G26" s="18" t="n">
        <f aca="false">G23*Допущения!D5</f>
        <v>28989.18</v>
      </c>
      <c r="H26" s="18" t="n">
        <f aca="false">H23*Допущения!D5</f>
        <v>31888.098</v>
      </c>
      <c r="I26" s="18" t="n">
        <f aca="false">I23*Допущения!D5</f>
        <v>35076.9078</v>
      </c>
      <c r="J26" s="18" t="n">
        <f aca="false">J23*Допущения!D5</f>
        <v>38584.59858</v>
      </c>
      <c r="K26" s="18" t="n">
        <f aca="false">K23*Допущения!D5</f>
        <v>42443.058438</v>
      </c>
      <c r="L26" s="18" t="n">
        <f aca="false">L23*Допущения!D5</f>
        <v>46687.3642818</v>
      </c>
      <c r="M26" s="18" t="n">
        <f aca="false">M23*Допущения!D5</f>
        <v>51356.10070998</v>
      </c>
      <c r="N26" s="18" t="n">
        <f aca="false">N23*Допущения!D5</f>
        <v>56491.710780978</v>
      </c>
      <c r="O26" s="18" t="n">
        <f aca="false">O23*Допущения!D5</f>
        <v>62140.8818590758</v>
      </c>
      <c r="P26" s="18" t="n">
        <f aca="false">P23*Допущения!D5</f>
        <v>68354.9700449834</v>
      </c>
      <c r="Q26" s="18" t="n">
        <f aca="false">Q23*Допущения!D5</f>
        <v>75190.4670494818</v>
      </c>
      <c r="R26" s="18" t="n">
        <f aca="false">R23*Допущения!D5</f>
        <v>82709.51375443</v>
      </c>
      <c r="S26" s="18" t="n">
        <f aca="false">S23*Допущения!D5</f>
        <v>90980.465129873</v>
      </c>
      <c r="T26" s="18" t="n">
        <f aca="false">T23*Допущения!D5</f>
        <v>100078.51164286</v>
      </c>
    </row>
    <row r="27" customFormat="false" ht="15" hidden="false" customHeight="false" outlineLevel="0" collapsed="false">
      <c r="B27" s="0" t="s">
        <v>89</v>
      </c>
      <c r="C27" s="18" t="n">
        <f aca="false">C25*Допущения!D6</f>
        <v>639.2</v>
      </c>
      <c r="D27" s="18" t="n">
        <f aca="false">D25*Допущения!D6</f>
        <v>1342.32</v>
      </c>
      <c r="E27" s="18" t="n">
        <f aca="false">E25*Допущения!D6</f>
        <v>2115.752</v>
      </c>
      <c r="F27" s="18" t="n">
        <f aca="false">F25*Допущения!D6</f>
        <v>2327.3272</v>
      </c>
      <c r="G27" s="18" t="n">
        <f aca="false">G25*Допущения!D6</f>
        <v>2560.05992</v>
      </c>
      <c r="H27" s="18" t="n">
        <f aca="false">H25*Допущения!D6</f>
        <v>2816.065912</v>
      </c>
      <c r="I27" s="18" t="n">
        <f aca="false">I25*Допущения!D6</f>
        <v>3097.6725032</v>
      </c>
      <c r="J27" s="18" t="n">
        <f aca="false">J25*Допущения!D6</f>
        <v>3407.43975352</v>
      </c>
      <c r="K27" s="18" t="n">
        <f aca="false">K25*Допущения!D6</f>
        <v>3748.183728872</v>
      </c>
      <c r="L27" s="18" t="n">
        <f aca="false">L25*Допущения!D6</f>
        <v>4123.0021017592</v>
      </c>
      <c r="M27" s="18" t="n">
        <f aca="false">M25*Допущения!D6</f>
        <v>4535.30231193512</v>
      </c>
      <c r="N27" s="18" t="n">
        <f aca="false">N25*Допущения!D6</f>
        <v>4988.83254312864</v>
      </c>
      <c r="O27" s="18" t="n">
        <f aca="false">O25*Допущения!D6</f>
        <v>5487.7157974415</v>
      </c>
      <c r="P27" s="18" t="n">
        <f aca="false">P25*Допущения!D6</f>
        <v>6036.48737718565</v>
      </c>
      <c r="Q27" s="18" t="n">
        <f aca="false">Q25*Допущения!D6</f>
        <v>6640.13611490421</v>
      </c>
      <c r="R27" s="18" t="n">
        <f aca="false">R25*Допущения!D6</f>
        <v>7304.14972639464</v>
      </c>
      <c r="S27" s="18" t="n">
        <f aca="false">S25*Допущения!D6</f>
        <v>8034.5646990341</v>
      </c>
      <c r="T27" s="18" t="n">
        <f aca="false">T25*Допущения!D6</f>
        <v>8838.02116893751</v>
      </c>
    </row>
    <row r="28" customFormat="false" ht="15" hidden="false" customHeight="false" outlineLevel="0" collapsed="false">
      <c r="B28" s="0" t="s">
        <v>90</v>
      </c>
      <c r="C28" s="18" t="n">
        <f aca="false">C26+C27</f>
        <v>20439.2</v>
      </c>
      <c r="D28" s="18" t="n">
        <f aca="false">D26+D27</f>
        <v>23122.32</v>
      </c>
      <c r="E28" s="18" t="n">
        <f aca="false">E26+E27</f>
        <v>26073.752</v>
      </c>
      <c r="F28" s="18" t="n">
        <f aca="false">F26+F27</f>
        <v>28681.1272</v>
      </c>
      <c r="G28" s="18" t="n">
        <f aca="false">G26+G27</f>
        <v>31549.23992</v>
      </c>
      <c r="H28" s="18" t="n">
        <f aca="false">H26+H27</f>
        <v>34704.163912</v>
      </c>
      <c r="I28" s="18" t="n">
        <f aca="false">I26+I27</f>
        <v>38174.5803032</v>
      </c>
      <c r="J28" s="18" t="n">
        <f aca="false">J26+J27</f>
        <v>41992.03833352</v>
      </c>
      <c r="K28" s="18" t="n">
        <f aca="false">K26+K27</f>
        <v>46191.242166872</v>
      </c>
      <c r="L28" s="18" t="n">
        <f aca="false">L26+L27</f>
        <v>50810.3663835592</v>
      </c>
      <c r="M28" s="18" t="n">
        <f aca="false">M26+M27</f>
        <v>55891.4030219152</v>
      </c>
      <c r="N28" s="18" t="n">
        <f aca="false">N26+N27</f>
        <v>61480.5433241067</v>
      </c>
      <c r="O28" s="18" t="n">
        <f aca="false">O26+O27</f>
        <v>67628.5976565173</v>
      </c>
      <c r="P28" s="18" t="n">
        <f aca="false">P26+P27</f>
        <v>74391.4574221691</v>
      </c>
      <c r="Q28" s="18" t="n">
        <f aca="false">Q26+Q27</f>
        <v>81830.603164386</v>
      </c>
      <c r="R28" s="18" t="n">
        <f aca="false">R26+R27</f>
        <v>90013.6634808246</v>
      </c>
      <c r="S28" s="18" t="n">
        <f aca="false">S26+S27</f>
        <v>99015.0298289071</v>
      </c>
      <c r="T28" s="18" t="n">
        <f aca="false">T26+T27</f>
        <v>108916.532811798</v>
      </c>
    </row>
    <row r="29" customFormat="false" ht="15" hidden="false" customHeight="false" outlineLevel="0" collapsed="false">
      <c r="B29" s="0" t="s">
        <v>54</v>
      </c>
      <c r="C29" s="18" t="n">
        <f aca="false">(C23+C25)*Допущения!D13</f>
        <v>840</v>
      </c>
      <c r="D29" s="18" t="n">
        <f aca="false">(D23+D25)*Допущения!D13</f>
        <v>1164</v>
      </c>
      <c r="E29" s="18" t="n">
        <f aca="false">(E23+E25)*Допущения!D13</f>
        <v>1520.4</v>
      </c>
      <c r="F29" s="18" t="n">
        <f aca="false">(F23+F25)*Допущения!D13</f>
        <v>1672.44</v>
      </c>
      <c r="G29" s="18" t="n">
        <f aca="false">(G23+G25)*Допущения!D13</f>
        <v>1839.684</v>
      </c>
      <c r="H29" s="18" t="n">
        <f aca="false">(H23+H25)*Допущения!D13</f>
        <v>2023.6524</v>
      </c>
      <c r="I29" s="18" t="n">
        <f aca="false">(I23+I25)*Допущения!D13</f>
        <v>2226.01764</v>
      </c>
      <c r="J29" s="18" t="n">
        <f aca="false">(J23+J25)*Допущения!D13</f>
        <v>2448.619404</v>
      </c>
      <c r="K29" s="18" t="n">
        <f aca="false">(K23+K25)*Допущения!D13</f>
        <v>2693.4813444</v>
      </c>
      <c r="L29" s="18" t="n">
        <f aca="false">(L23+L25)*Допущения!D13</f>
        <v>2962.82947884</v>
      </c>
      <c r="M29" s="18" t="n">
        <f aca="false">(M23+M25)*Допущения!D13</f>
        <v>3259.112426724</v>
      </c>
      <c r="N29" s="18" t="n">
        <f aca="false">(N23+N25)*Допущения!D13</f>
        <v>3585.0236693964</v>
      </c>
      <c r="O29" s="18" t="n">
        <f aca="false">(O23+O25)*Допущения!D13</f>
        <v>3943.52603633604</v>
      </c>
      <c r="P29" s="18" t="n">
        <f aca="false">(P23+P25)*Допущения!D13</f>
        <v>4337.87863996965</v>
      </c>
      <c r="Q29" s="18" t="n">
        <f aca="false">(Q23+Q25)*Допущения!D13</f>
        <v>4771.66650396661</v>
      </c>
      <c r="R29" s="18" t="n">
        <f aca="false">(R23+R25)*Допущения!D13</f>
        <v>5248.83315436327</v>
      </c>
      <c r="S29" s="18" t="n">
        <f aca="false">(S23+S25)*Допущения!D13</f>
        <v>5773.7164697996</v>
      </c>
      <c r="T29" s="18" t="n">
        <f aca="false">(T23+T25)*Допущения!D13</f>
        <v>6351.08811677956</v>
      </c>
    </row>
    <row r="30" customFormat="false" ht="15" hidden="false" customHeight="false" outlineLevel="0" collapsed="false">
      <c r="B30" s="0" t="s">
        <v>91</v>
      </c>
      <c r="C30" s="18" t="n">
        <f aca="false">C23*Допущения!D12</f>
        <v>6000</v>
      </c>
      <c r="D30" s="18" t="n">
        <f aca="false">D23*Допущения!D12</f>
        <v>6600</v>
      </c>
      <c r="E30" s="18" t="n">
        <f aca="false">E23*Допущения!D12</f>
        <v>7260</v>
      </c>
      <c r="F30" s="18" t="n">
        <f aca="false">F23*Допущения!D12</f>
        <v>7986</v>
      </c>
      <c r="G30" s="18" t="n">
        <f aca="false">G23*Допущения!D12</f>
        <v>8784.6</v>
      </c>
      <c r="H30" s="18" t="n">
        <f aca="false">H23*Допущения!D12</f>
        <v>9663.06</v>
      </c>
      <c r="I30" s="18" t="n">
        <f aca="false">I23*Допущения!D12</f>
        <v>10629.366</v>
      </c>
      <c r="J30" s="18" t="n">
        <f aca="false">J23*Допущения!D12</f>
        <v>11692.3026</v>
      </c>
      <c r="K30" s="18" t="n">
        <f aca="false">K23*Допущения!D12</f>
        <v>12861.53286</v>
      </c>
      <c r="L30" s="18" t="n">
        <f aca="false">L23*Допущения!D12</f>
        <v>14147.686146</v>
      </c>
      <c r="M30" s="18" t="n">
        <f aca="false">M23*Допущения!D12</f>
        <v>15562.4547606</v>
      </c>
      <c r="N30" s="18" t="n">
        <f aca="false">N23*Допущения!D12</f>
        <v>17118.70023666</v>
      </c>
      <c r="O30" s="18" t="n">
        <f aca="false">O23*Допущения!D12</f>
        <v>18830.570260326</v>
      </c>
      <c r="P30" s="18" t="n">
        <f aca="false">P23*Допущения!D12</f>
        <v>20713.6272863586</v>
      </c>
      <c r="Q30" s="18" t="n">
        <f aca="false">Q23*Допущения!D12</f>
        <v>22784.9900149945</v>
      </c>
      <c r="R30" s="18" t="n">
        <f aca="false">R23*Допущения!D12</f>
        <v>25063.4890164939</v>
      </c>
      <c r="S30" s="18" t="n">
        <f aca="false">S23*Допущения!D12</f>
        <v>27569.8379181433</v>
      </c>
      <c r="T30" s="18" t="n">
        <f aca="false">T23*Допущения!D12</f>
        <v>30326.8217099577</v>
      </c>
    </row>
    <row r="31" customFormat="false" ht="15" hidden="false" customHeight="false" outlineLevel="0" collapsed="false">
      <c r="B31" s="0" t="s">
        <v>92</v>
      </c>
      <c r="C31" s="18" t="n">
        <f aca="false">Допущения!D14</f>
        <v>3000</v>
      </c>
      <c r="D31" s="18" t="n">
        <f aca="false">C31*(1+Допущения!D15)</f>
        <v>3060</v>
      </c>
      <c r="E31" s="18" t="n">
        <f aca="false">D31*(1+Допущения!D15)</f>
        <v>3121.2</v>
      </c>
      <c r="F31" s="18" t="n">
        <f aca="false">E31*(1+Допущения!D15)</f>
        <v>3183.624</v>
      </c>
      <c r="G31" s="18" t="n">
        <f aca="false">F31*(1+Допущения!D15)</f>
        <v>3247.29648</v>
      </c>
      <c r="H31" s="18" t="n">
        <f aca="false">G31*(1+Допущения!D15)</f>
        <v>3312.2424096</v>
      </c>
      <c r="I31" s="18" t="n">
        <f aca="false">H31*(1+Допущения!D15)</f>
        <v>3378.487257792</v>
      </c>
      <c r="J31" s="18" t="n">
        <f aca="false">I31*(1+Допущения!D15)</f>
        <v>3446.05700294784</v>
      </c>
      <c r="K31" s="18" t="n">
        <f aca="false">J31*(1+Допущения!D15)</f>
        <v>3514.9781430068</v>
      </c>
      <c r="L31" s="18" t="n">
        <f aca="false">K31*(1+Допущения!D15)</f>
        <v>3585.27770586693</v>
      </c>
      <c r="M31" s="18" t="n">
        <f aca="false">L31*(1+Допущения!D15)</f>
        <v>3656.98325998427</v>
      </c>
      <c r="N31" s="18" t="n">
        <f aca="false">M31*(1+Допущения!D15)</f>
        <v>3730.12292518396</v>
      </c>
      <c r="O31" s="18" t="n">
        <f aca="false">N31*(1+Допущения!D15)</f>
        <v>3804.72538368764</v>
      </c>
      <c r="P31" s="18" t="n">
        <f aca="false">O31*(1+Допущения!D15)</f>
        <v>3880.81989136139</v>
      </c>
      <c r="Q31" s="18" t="n">
        <f aca="false">P31*(1+Допущения!D15)</f>
        <v>3958.43628918862</v>
      </c>
      <c r="R31" s="18" t="n">
        <f aca="false">Q31*(1+Допущения!D15)</f>
        <v>4037.60501497239</v>
      </c>
      <c r="S31" s="18" t="n">
        <f aca="false">R31*(1+Допущения!D15)</f>
        <v>4118.35711527184</v>
      </c>
      <c r="T31" s="18" t="n">
        <f aca="false">S31*(1+Допущения!D15)</f>
        <v>4200.72425757728</v>
      </c>
    </row>
    <row r="32" customFormat="false" ht="15" hidden="false" customHeight="false" outlineLevel="0" collapsed="false">
      <c r="B32" s="0" t="s">
        <v>93</v>
      </c>
      <c r="C32" s="18" t="n">
        <f aca="false">C28-C29-C30-C31</f>
        <v>10599.2</v>
      </c>
      <c r="D32" s="18" t="n">
        <f aca="false">D28-D29-D30-D31</f>
        <v>12298.32</v>
      </c>
      <c r="E32" s="18" t="n">
        <f aca="false">E28-E29-E30-E31</f>
        <v>14172.152</v>
      </c>
      <c r="F32" s="18" t="n">
        <f aca="false">F28-F29-F30-F31</f>
        <v>15839.0632</v>
      </c>
      <c r="G32" s="18" t="n">
        <f aca="false">G28-G29-G30-G31</f>
        <v>17677.65944</v>
      </c>
      <c r="H32" s="18" t="n">
        <f aca="false">H28-H29-H30-H31</f>
        <v>19705.2091024</v>
      </c>
      <c r="I32" s="18" t="n">
        <f aca="false">I28-I29-I30-I31</f>
        <v>21940.709405408</v>
      </c>
      <c r="J32" s="18" t="n">
        <f aca="false">J28-J29-J30-J31</f>
        <v>24405.0593265722</v>
      </c>
      <c r="K32" s="18" t="n">
        <f aca="false">K28-K29-K30-K31</f>
        <v>27121.2498194652</v>
      </c>
      <c r="L32" s="18" t="n">
        <f aca="false">L28-L29-L30-L31</f>
        <v>30114.5730528523</v>
      </c>
      <c r="M32" s="18" t="n">
        <f aca="false">M28-M29-M30-M31</f>
        <v>33412.8525746069</v>
      </c>
      <c r="N32" s="18" t="n">
        <f aca="false">N28-N29-N30-N31</f>
        <v>37046.6964928663</v>
      </c>
      <c r="O32" s="18" t="n">
        <f aca="false">O28-O29-O30-O31</f>
        <v>41049.7759761676</v>
      </c>
      <c r="P32" s="18" t="n">
        <f aca="false">P28-P29-P30-P31</f>
        <v>45459.1316044794</v>
      </c>
      <c r="Q32" s="18" t="n">
        <f aca="false">Q28-Q29-Q30-Q31</f>
        <v>50315.5103562363</v>
      </c>
      <c r="R32" s="18" t="n">
        <f aca="false">R28-R29-R30-R31</f>
        <v>55663.736294995</v>
      </c>
      <c r="S32" s="18" t="n">
        <f aca="false">S28-S29-S30-S31</f>
        <v>61553.1183256923</v>
      </c>
      <c r="T32" s="18" t="n">
        <f aca="false">T28-T29-T30-T31</f>
        <v>68037.8987274833</v>
      </c>
    </row>
    <row r="33" customFormat="false" ht="15" hidden="false" customHeight="false" outlineLevel="0" collapsed="false">
      <c r="B33" s="0" t="s">
        <v>94</v>
      </c>
      <c r="C33" s="18" t="n">
        <f aca="false">C32</f>
        <v>10599.2</v>
      </c>
      <c r="D33" s="18" t="n">
        <f aca="false">C33+D32</f>
        <v>22897.52</v>
      </c>
      <c r="E33" s="18" t="n">
        <f aca="false">D33+E32</f>
        <v>37069.672</v>
      </c>
      <c r="F33" s="18" t="n">
        <f aca="false">E33+F32</f>
        <v>52908.7352</v>
      </c>
      <c r="G33" s="18" t="n">
        <f aca="false">F33+G32</f>
        <v>70586.39464</v>
      </c>
      <c r="H33" s="18" t="n">
        <f aca="false">G33+H32</f>
        <v>90291.6037424</v>
      </c>
      <c r="I33" s="18" t="n">
        <f aca="false">H33+I32</f>
        <v>112232.313147808</v>
      </c>
      <c r="J33" s="18" t="n">
        <f aca="false">I33+J32</f>
        <v>136637.37247438</v>
      </c>
      <c r="K33" s="18" t="n">
        <f aca="false">J33+K32</f>
        <v>163758.622293845</v>
      </c>
      <c r="L33" s="18" t="n">
        <f aca="false">K33+L32</f>
        <v>193873.195346698</v>
      </c>
      <c r="M33" s="18" t="n">
        <f aca="false">L33+M32</f>
        <v>227286.047921305</v>
      </c>
      <c r="N33" s="18" t="n">
        <f aca="false">M33+N32</f>
        <v>264332.744414171</v>
      </c>
      <c r="O33" s="18" t="n">
        <f aca="false">N33+O32</f>
        <v>305382.520390339</v>
      </c>
      <c r="P33" s="18" t="n">
        <f aca="false">O33+P32</f>
        <v>350841.651994818</v>
      </c>
      <c r="Q33" s="18" t="n">
        <f aca="false">P33+Q32</f>
        <v>401157.162351054</v>
      </c>
      <c r="R33" s="18" t="n">
        <f aca="false">Q33+R32</f>
        <v>456820.898646049</v>
      </c>
      <c r="S33" s="18" t="n">
        <f aca="false">R33+S32</f>
        <v>518374.016971742</v>
      </c>
      <c r="T33" s="18" t="n">
        <f aca="false">S33+T32</f>
        <v>586411.915699225</v>
      </c>
    </row>
    <row r="36" customFormat="false" ht="15" hidden="false" customHeight="false" outlineLevel="0" collapsed="false">
      <c r="B36" s="3" t="s">
        <v>96</v>
      </c>
    </row>
    <row r="37" customFormat="false" ht="15" hidden="false" customHeight="false" outlineLevel="0" collapsed="false">
      <c r="B37" s="8" t="s">
        <v>46</v>
      </c>
      <c r="C37" s="8" t="s">
        <v>66</v>
      </c>
      <c r="D37" s="8" t="s">
        <v>67</v>
      </c>
      <c r="E37" s="8" t="s">
        <v>68</v>
      </c>
      <c r="F37" s="8" t="s">
        <v>69</v>
      </c>
      <c r="G37" s="8" t="s">
        <v>70</v>
      </c>
      <c r="H37" s="8" t="s">
        <v>71</v>
      </c>
      <c r="I37" s="8" t="s">
        <v>72</v>
      </c>
      <c r="J37" s="8" t="s">
        <v>73</v>
      </c>
      <c r="K37" s="8" t="s">
        <v>74</v>
      </c>
      <c r="L37" s="8" t="s">
        <v>75</v>
      </c>
      <c r="M37" s="8" t="s">
        <v>76</v>
      </c>
      <c r="N37" s="8" t="s">
        <v>77</v>
      </c>
      <c r="O37" s="8" t="s">
        <v>78</v>
      </c>
      <c r="P37" s="8" t="s">
        <v>79</v>
      </c>
      <c r="Q37" s="8" t="s">
        <v>80</v>
      </c>
      <c r="R37" s="8" t="s">
        <v>81</v>
      </c>
      <c r="S37" s="8" t="s">
        <v>82</v>
      </c>
      <c r="T37" s="8" t="s">
        <v>83</v>
      </c>
    </row>
    <row r="38" customFormat="false" ht="15" hidden="false" customHeight="false" outlineLevel="0" collapsed="false">
      <c r="B38" s="0" t="s">
        <v>84</v>
      </c>
      <c r="C38" s="17" t="n">
        <f aca="false">Допущения!E10</f>
        <v>12000</v>
      </c>
      <c r="D38" s="17" t="n">
        <f aca="false">C38*(1+Допущения!E11)</f>
        <v>13800</v>
      </c>
      <c r="E38" s="17" t="n">
        <f aca="false">D38*(1+Допущения!E11)</f>
        <v>15870</v>
      </c>
      <c r="F38" s="17" t="n">
        <f aca="false">E38*(1+Допущения!E11)</f>
        <v>18250.5</v>
      </c>
      <c r="G38" s="17" t="n">
        <f aca="false">F38*(1+Допущения!E11)</f>
        <v>20988.075</v>
      </c>
      <c r="H38" s="17" t="n">
        <f aca="false">G38*(1+Допущения!E11)</f>
        <v>24136.28625</v>
      </c>
      <c r="I38" s="17" t="n">
        <f aca="false">H38*(1+Допущения!E11)</f>
        <v>27756.7291875</v>
      </c>
      <c r="J38" s="17" t="n">
        <f aca="false">I38*(1+Допущения!E11)</f>
        <v>31920.238565625</v>
      </c>
      <c r="K38" s="17" t="n">
        <f aca="false">J38*(1+Допущения!E11)</f>
        <v>36708.2743504687</v>
      </c>
      <c r="L38" s="17" t="n">
        <f aca="false">K38*(1+Допущения!E11)</f>
        <v>42214.515503039</v>
      </c>
      <c r="M38" s="17" t="n">
        <f aca="false">L38*(1+Допущения!E11)</f>
        <v>48546.6928284949</v>
      </c>
      <c r="N38" s="17" t="n">
        <f aca="false">M38*(1+Допущения!E11)</f>
        <v>55828.6967527691</v>
      </c>
      <c r="O38" s="17" t="n">
        <f aca="false">N38*(1+Допущения!E11)</f>
        <v>64203.0012656845</v>
      </c>
      <c r="P38" s="17" t="n">
        <f aca="false">O38*(1+Допущения!E11)</f>
        <v>73833.4514555371</v>
      </c>
      <c r="Q38" s="17" t="n">
        <f aca="false">P38*(1+Допущения!E11)</f>
        <v>84908.4691738677</v>
      </c>
      <c r="R38" s="17" t="n">
        <f aca="false">Q38*(1+Допущения!E11)</f>
        <v>97644.7395499478</v>
      </c>
      <c r="S38" s="17" t="n">
        <f aca="false">R38*(1+Допущения!E11)</f>
        <v>112291.45048244</v>
      </c>
      <c r="T38" s="17" t="n">
        <f aca="false">S38*(1+Допущения!E11)</f>
        <v>129135.168054806</v>
      </c>
    </row>
    <row r="39" customFormat="false" ht="15" hidden="false" customHeight="false" outlineLevel="0" collapsed="false">
      <c r="B39" s="0" t="s">
        <v>85</v>
      </c>
      <c r="C39" s="17" t="n">
        <f aca="false">C38*Допущения!E7</f>
        <v>480</v>
      </c>
      <c r="D39" s="17" t="n">
        <f aca="false">D38*Допущения!E7</f>
        <v>552</v>
      </c>
      <c r="E39" s="17" t="n">
        <f aca="false">E38*Допущения!E7</f>
        <v>634.8</v>
      </c>
      <c r="F39" s="17" t="n">
        <f aca="false">F38*Допущения!E7</f>
        <v>730.02</v>
      </c>
      <c r="G39" s="17" t="n">
        <f aca="false">G38*Допущения!E7</f>
        <v>839.523</v>
      </c>
      <c r="H39" s="17" t="n">
        <f aca="false">H38*Допущения!E7</f>
        <v>965.45145</v>
      </c>
      <c r="I39" s="17" t="n">
        <f aca="false">I38*Допущения!E7</f>
        <v>1110.2691675</v>
      </c>
      <c r="J39" s="17" t="n">
        <f aca="false">J38*Допущения!E7</f>
        <v>1276.809542625</v>
      </c>
      <c r="K39" s="17" t="n">
        <f aca="false">K38*Допущения!E7</f>
        <v>1468.33097401875</v>
      </c>
      <c r="L39" s="17" t="n">
        <f aca="false">L38*Допущения!E7</f>
        <v>1688.58062012156</v>
      </c>
      <c r="M39" s="17" t="n">
        <f aca="false">M38*Допущения!E7</f>
        <v>1941.8677131398</v>
      </c>
      <c r="N39" s="17" t="n">
        <f aca="false">N38*Допущения!E7</f>
        <v>2233.14787011076</v>
      </c>
      <c r="O39" s="17" t="n">
        <f aca="false">O38*Допущения!E7</f>
        <v>2568.12005062738</v>
      </c>
      <c r="P39" s="17" t="n">
        <f aca="false">P38*Допущения!E7</f>
        <v>2953.33805822149</v>
      </c>
      <c r="Q39" s="17" t="n">
        <f aca="false">Q38*Допущения!E7</f>
        <v>3396.33876695471</v>
      </c>
      <c r="R39" s="17" t="n">
        <f aca="false">R38*Допущения!E7</f>
        <v>3905.78958199791</v>
      </c>
      <c r="S39" s="17" t="n">
        <f aca="false">S38*Допущения!E7</f>
        <v>4491.6580192976</v>
      </c>
      <c r="T39" s="17" t="n">
        <f aca="false">T38*Допущения!E7</f>
        <v>5165.40672219224</v>
      </c>
    </row>
    <row r="40" customFormat="false" ht="15" hidden="false" customHeight="false" outlineLevel="0" collapsed="false">
      <c r="B40" s="0" t="s">
        <v>86</v>
      </c>
      <c r="C40" s="17" t="n">
        <f aca="false">C39*Допущения!E8</f>
        <v>264</v>
      </c>
      <c r="D40" s="17" t="n">
        <f aca="false">D39*Допущения!E8</f>
        <v>303.6</v>
      </c>
      <c r="E40" s="17" t="n">
        <f aca="false">E39*Допущения!E8</f>
        <v>349.14</v>
      </c>
      <c r="F40" s="17" t="n">
        <f aca="false">F39*Допущения!E8</f>
        <v>401.511</v>
      </c>
      <c r="G40" s="17" t="n">
        <f aca="false">G39*Допущения!E8</f>
        <v>461.73765</v>
      </c>
      <c r="H40" s="17" t="n">
        <f aca="false">H39*Допущения!E8</f>
        <v>530.9982975</v>
      </c>
      <c r="I40" s="17" t="n">
        <f aca="false">I39*Допущения!E8</f>
        <v>610.648042125</v>
      </c>
      <c r="J40" s="17" t="n">
        <f aca="false">J39*Допущения!E8</f>
        <v>702.24524844375</v>
      </c>
      <c r="K40" s="17" t="n">
        <f aca="false">K39*Допущения!E8</f>
        <v>807.582035710312</v>
      </c>
      <c r="L40" s="17" t="n">
        <f aca="false">L39*Допущения!E8</f>
        <v>928.719341066859</v>
      </c>
      <c r="M40" s="17" t="n">
        <f aca="false">M39*Допущения!E8</f>
        <v>1068.02724222689</v>
      </c>
      <c r="N40" s="17" t="n">
        <f aca="false">N39*Допущения!E8</f>
        <v>1228.23132856092</v>
      </c>
      <c r="O40" s="17" t="n">
        <f aca="false">O39*Допущения!E8</f>
        <v>1412.46602784506</v>
      </c>
      <c r="P40" s="17" t="n">
        <f aca="false">P39*Допущения!E8</f>
        <v>1624.33593202182</v>
      </c>
      <c r="Q40" s="17" t="n">
        <f aca="false">Q39*Допущения!E8</f>
        <v>1867.98632182509</v>
      </c>
      <c r="R40" s="17" t="n">
        <f aca="false">R39*Допущения!E8</f>
        <v>2148.18427009885</v>
      </c>
      <c r="S40" s="17" t="n">
        <f aca="false">S39*Допущения!E8</f>
        <v>2470.41191061368</v>
      </c>
      <c r="T40" s="17" t="n">
        <f aca="false">T39*Допущения!E8</f>
        <v>2840.97369720573</v>
      </c>
    </row>
    <row r="41" customFormat="false" ht="15" hidden="false" customHeight="false" outlineLevel="0" collapsed="false">
      <c r="B41" s="0" t="s">
        <v>87</v>
      </c>
      <c r="C41" s="17" t="n">
        <f aca="true">SUM(OFFSET(C40,0,-MIN(0,Допущения!E9-1)):C40)</f>
        <v>264</v>
      </c>
      <c r="D41" s="17" t="n">
        <f aca="true">SUM(OFFSET(D40,0,-MIN(1,Допущения!E9-1)):D40)</f>
        <v>567.6</v>
      </c>
      <c r="E41" s="17" t="n">
        <f aca="true">SUM(OFFSET(E40,0,-MIN(2,Допущения!E9-1)):E40)</f>
        <v>916.74</v>
      </c>
      <c r="F41" s="17" t="n">
        <f aca="true">SUM(OFFSET(F40,0,-MIN(3,Допущения!E9-1)):F40)</f>
        <v>1318.251</v>
      </c>
      <c r="G41" s="17" t="n">
        <f aca="true">SUM(OFFSET(G40,0,-MIN(4,Допущения!E9-1)):G40)</f>
        <v>1515.98865</v>
      </c>
      <c r="H41" s="17" t="n">
        <f aca="true">SUM(OFFSET(H40,0,-MIN(5,Допущения!E9-1)):H40)</f>
        <v>1743.3869475</v>
      </c>
      <c r="I41" s="17" t="n">
        <f aca="true">SUM(OFFSET(I40,0,-MIN(6,Допущения!E9-1)):I40)</f>
        <v>2004.894989625</v>
      </c>
      <c r="J41" s="17" t="n">
        <f aca="true">SUM(OFFSET(J40,0,-MIN(7,Допущения!E9-1)):J40)</f>
        <v>2305.62923806875</v>
      </c>
      <c r="K41" s="17" t="n">
        <f aca="true">SUM(OFFSET(K40,0,-MIN(8,Допущения!E9-1)):K40)</f>
        <v>2651.47362377906</v>
      </c>
      <c r="L41" s="17" t="n">
        <f aca="true">SUM(OFFSET(L40,0,-MIN(9,Допущения!E9-1)):L40)</f>
        <v>3049.19466734592</v>
      </c>
      <c r="M41" s="17" t="n">
        <f aca="true">SUM(OFFSET(M40,0,-MIN(10,Допущения!E9-1)):M40)</f>
        <v>3506.57386744781</v>
      </c>
      <c r="N41" s="17" t="n">
        <f aca="true">SUM(OFFSET(N40,0,-MIN(11,Допущения!E9-1)):N40)</f>
        <v>4032.55994756498</v>
      </c>
      <c r="O41" s="17" t="n">
        <f aca="true">SUM(OFFSET(O40,0,-MIN(12,Допущения!E9-1)):O40)</f>
        <v>4637.44393969973</v>
      </c>
      <c r="P41" s="17" t="n">
        <f aca="true">SUM(OFFSET(P40,0,-MIN(13,Допущения!E9-1)):P40)</f>
        <v>5333.06053065468</v>
      </c>
      <c r="Q41" s="17" t="n">
        <f aca="true">SUM(OFFSET(Q40,0,-MIN(14,Допущения!E9-1)):Q40)</f>
        <v>6133.01961025289</v>
      </c>
      <c r="R41" s="17" t="n">
        <f aca="true">SUM(OFFSET(R40,0,-MIN(15,Допущения!E9-1)):R40)</f>
        <v>7052.97255179082</v>
      </c>
      <c r="S41" s="17" t="n">
        <f aca="true">SUM(OFFSET(S40,0,-MIN(16,Допущения!E9-1)):S40)</f>
        <v>8110.91843455944</v>
      </c>
      <c r="T41" s="17" t="n">
        <f aca="true">SUM(OFFSET(T40,0,-MIN(17,Допущения!E9-1)):T40)</f>
        <v>9327.55619974335</v>
      </c>
    </row>
    <row r="42" customFormat="false" ht="15" hidden="false" customHeight="false" outlineLevel="0" collapsed="false">
      <c r="B42" s="0" t="s">
        <v>88</v>
      </c>
      <c r="C42" s="18" t="n">
        <f aca="false">C39*Допущения!E5</f>
        <v>47520</v>
      </c>
      <c r="D42" s="18" t="n">
        <f aca="false">D39*Допущения!E5</f>
        <v>54648</v>
      </c>
      <c r="E42" s="18" t="n">
        <f aca="false">E39*Допущения!E5</f>
        <v>62845.2</v>
      </c>
      <c r="F42" s="18" t="n">
        <f aca="false">F39*Допущения!E5</f>
        <v>72271.98</v>
      </c>
      <c r="G42" s="18" t="n">
        <f aca="false">G39*Допущения!E5</f>
        <v>83112.777</v>
      </c>
      <c r="H42" s="18" t="n">
        <f aca="false">H39*Допущения!E5</f>
        <v>95579.69355</v>
      </c>
      <c r="I42" s="18" t="n">
        <f aca="false">I39*Допущения!E5</f>
        <v>109916.6475825</v>
      </c>
      <c r="J42" s="18" t="n">
        <f aca="false">J39*Допущения!E5</f>
        <v>126404.144719875</v>
      </c>
      <c r="K42" s="18" t="n">
        <f aca="false">K39*Допущения!E5</f>
        <v>145364.766427856</v>
      </c>
      <c r="L42" s="18" t="n">
        <f aca="false">L39*Допущения!E5</f>
        <v>167169.481392035</v>
      </c>
      <c r="M42" s="18" t="n">
        <f aca="false">M39*Допущения!E5</f>
        <v>192244.90360084</v>
      </c>
      <c r="N42" s="18" t="n">
        <f aca="false">N39*Допущения!E5</f>
        <v>221081.639140966</v>
      </c>
      <c r="O42" s="18" t="n">
        <f aca="false">O39*Допущения!E5</f>
        <v>254243.885012111</v>
      </c>
      <c r="P42" s="18" t="n">
        <f aca="false">P39*Допущения!E5</f>
        <v>292380.467763927</v>
      </c>
      <c r="Q42" s="18" t="n">
        <f aca="false">Q39*Допущения!E5</f>
        <v>336237.537928516</v>
      </c>
      <c r="R42" s="18" t="n">
        <f aca="false">R39*Допущения!E5</f>
        <v>386673.168617794</v>
      </c>
      <c r="S42" s="18" t="n">
        <f aca="false">S39*Допущения!E5</f>
        <v>444674.143910462</v>
      </c>
      <c r="T42" s="18" t="n">
        <f aca="false">T39*Допущения!E5</f>
        <v>511375.265497032</v>
      </c>
    </row>
    <row r="43" customFormat="false" ht="15" hidden="false" customHeight="false" outlineLevel="0" collapsed="false">
      <c r="B43" s="0" t="s">
        <v>89</v>
      </c>
      <c r="C43" s="18" t="n">
        <f aca="false">C41*Допущения!E6</f>
        <v>2109.36</v>
      </c>
      <c r="D43" s="18" t="n">
        <f aca="false">D41*Допущения!E6</f>
        <v>4535.124</v>
      </c>
      <c r="E43" s="18" t="n">
        <f aca="false">E41*Допущения!E6</f>
        <v>7324.7526</v>
      </c>
      <c r="F43" s="18" t="n">
        <f aca="false">F41*Допущения!E6</f>
        <v>10532.82549</v>
      </c>
      <c r="G43" s="18" t="n">
        <f aca="false">G41*Допущения!E6</f>
        <v>12112.7493135</v>
      </c>
      <c r="H43" s="18" t="n">
        <f aca="false">H41*Допущения!E6</f>
        <v>13929.661710525</v>
      </c>
      <c r="I43" s="18" t="n">
        <f aca="false">I41*Допущения!E6</f>
        <v>16019.1109671037</v>
      </c>
      <c r="J43" s="18" t="n">
        <f aca="false">J41*Допущения!E6</f>
        <v>18421.9776121693</v>
      </c>
      <c r="K43" s="18" t="n">
        <f aca="false">K41*Допущения!E6</f>
        <v>21185.2742539947</v>
      </c>
      <c r="L43" s="18" t="n">
        <f aca="false">L41*Допущения!E6</f>
        <v>24363.0653920939</v>
      </c>
      <c r="M43" s="18" t="n">
        <f aca="false">M41*Допущения!E6</f>
        <v>28017.525200908</v>
      </c>
      <c r="N43" s="18" t="n">
        <f aca="false">N41*Допущения!E6</f>
        <v>32220.1539810442</v>
      </c>
      <c r="O43" s="18" t="n">
        <f aca="false">O41*Допущения!E6</f>
        <v>37053.1770782008</v>
      </c>
      <c r="P43" s="18" t="n">
        <f aca="false">P41*Допущения!E6</f>
        <v>42611.1536399309</v>
      </c>
      <c r="Q43" s="18" t="n">
        <f aca="false">Q41*Допущения!E6</f>
        <v>49002.8266859206</v>
      </c>
      <c r="R43" s="18" t="n">
        <f aca="false">R41*Допущения!E6</f>
        <v>56353.2506888086</v>
      </c>
      <c r="S43" s="18" t="n">
        <f aca="false">S41*Допущения!E6</f>
        <v>64806.2382921299</v>
      </c>
      <c r="T43" s="18" t="n">
        <f aca="false">T41*Допущения!E6</f>
        <v>74527.1740359494</v>
      </c>
    </row>
    <row r="44" customFormat="false" ht="15" hidden="false" customHeight="false" outlineLevel="0" collapsed="false">
      <c r="B44" s="0" t="s">
        <v>90</v>
      </c>
      <c r="C44" s="18" t="n">
        <f aca="false">C42+C43</f>
        <v>49629.36</v>
      </c>
      <c r="D44" s="18" t="n">
        <f aca="false">D42+D43</f>
        <v>59183.124</v>
      </c>
      <c r="E44" s="18" t="n">
        <f aca="false">E42+E43</f>
        <v>70169.9526</v>
      </c>
      <c r="F44" s="18" t="n">
        <f aca="false">F42+F43</f>
        <v>82804.80549</v>
      </c>
      <c r="G44" s="18" t="n">
        <f aca="false">G42+G43</f>
        <v>95225.5263135</v>
      </c>
      <c r="H44" s="18" t="n">
        <f aca="false">H42+H43</f>
        <v>109509.355260525</v>
      </c>
      <c r="I44" s="18" t="n">
        <f aca="false">I42+I43</f>
        <v>125935.758549604</v>
      </c>
      <c r="J44" s="18" t="n">
        <f aca="false">J42+J43</f>
        <v>144826.122332044</v>
      </c>
      <c r="K44" s="18" t="n">
        <f aca="false">K42+K43</f>
        <v>166550.040681851</v>
      </c>
      <c r="L44" s="18" t="n">
        <f aca="false">L42+L43</f>
        <v>191532.546784128</v>
      </c>
      <c r="M44" s="18" t="n">
        <f aca="false">M42+M43</f>
        <v>220262.428801748</v>
      </c>
      <c r="N44" s="18" t="n">
        <f aca="false">N42+N43</f>
        <v>253301.79312201</v>
      </c>
      <c r="O44" s="18" t="n">
        <f aca="false">O42+O43</f>
        <v>291297.062090311</v>
      </c>
      <c r="P44" s="18" t="n">
        <f aca="false">P42+P43</f>
        <v>334991.621403858</v>
      </c>
      <c r="Q44" s="18" t="n">
        <f aca="false">Q42+Q43</f>
        <v>385240.364614437</v>
      </c>
      <c r="R44" s="18" t="n">
        <f aca="false">R42+R43</f>
        <v>443026.419306602</v>
      </c>
      <c r="S44" s="18" t="n">
        <f aca="false">S42+S43</f>
        <v>509480.382202592</v>
      </c>
      <c r="T44" s="18" t="n">
        <f aca="false">T42+T43</f>
        <v>585902.439532981</v>
      </c>
    </row>
    <row r="45" customFormat="false" ht="15" hidden="false" customHeight="false" outlineLevel="0" collapsed="false">
      <c r="B45" s="0" t="s">
        <v>54</v>
      </c>
      <c r="C45" s="18" t="n">
        <f aca="false">(C39+C41)*Допущения!E13</f>
        <v>1860</v>
      </c>
      <c r="D45" s="18" t="n">
        <f aca="false">(D39+D41)*Допущения!E13</f>
        <v>2799</v>
      </c>
      <c r="E45" s="18" t="n">
        <f aca="false">(E39+E41)*Допущения!E13</f>
        <v>3878.85</v>
      </c>
      <c r="F45" s="18" t="n">
        <f aca="false">(F39+F41)*Допущения!E13</f>
        <v>5120.6775</v>
      </c>
      <c r="G45" s="18" t="n">
        <f aca="false">(G39+G41)*Допущения!E13</f>
        <v>5888.779125</v>
      </c>
      <c r="H45" s="18" t="n">
        <f aca="false">(H39+H41)*Допущения!E13</f>
        <v>6772.09599375</v>
      </c>
      <c r="I45" s="18" t="n">
        <f aca="false">(I39+I41)*Допущения!E13</f>
        <v>7787.9103928125</v>
      </c>
      <c r="J45" s="18" t="n">
        <f aca="false">(J39+J41)*Допущения!E13</f>
        <v>8956.09695173437</v>
      </c>
      <c r="K45" s="18" t="n">
        <f aca="false">(K39+K41)*Допущения!E13</f>
        <v>10299.5114944945</v>
      </c>
      <c r="L45" s="18" t="n">
        <f aca="false">(L39+L41)*Допущения!E13</f>
        <v>11844.4382186687</v>
      </c>
      <c r="M45" s="18" t="n">
        <f aca="false">(M39+M41)*Допущения!E13</f>
        <v>13621.103951469</v>
      </c>
      <c r="N45" s="18" t="n">
        <f aca="false">(N39+N41)*Допущения!E13</f>
        <v>15664.2695441894</v>
      </c>
      <c r="O45" s="18" t="n">
        <f aca="false">(O39+O41)*Допущения!E13</f>
        <v>18013.9099758178</v>
      </c>
      <c r="P45" s="18" t="n">
        <f aca="false">(P39+P41)*Допущения!E13</f>
        <v>20715.9964721904</v>
      </c>
      <c r="Q45" s="18" t="n">
        <f aca="false">(Q39+Q41)*Допущения!E13</f>
        <v>23823.395943019</v>
      </c>
      <c r="R45" s="18" t="n">
        <f aca="false">(R39+R41)*Допущения!E13</f>
        <v>27396.9053344718</v>
      </c>
      <c r="S45" s="18" t="n">
        <f aca="false">(S39+S41)*Допущения!E13</f>
        <v>31506.4411346426</v>
      </c>
      <c r="T45" s="18" t="n">
        <f aca="false">(T39+T41)*Допущения!E13</f>
        <v>36232.407304839</v>
      </c>
    </row>
    <row r="46" customFormat="false" ht="15" hidden="false" customHeight="false" outlineLevel="0" collapsed="false">
      <c r="B46" s="0" t="s">
        <v>91</v>
      </c>
      <c r="C46" s="18" t="n">
        <f aca="false">C39*Допущения!E12</f>
        <v>8640</v>
      </c>
      <c r="D46" s="18" t="n">
        <f aca="false">D39*Допущения!E12</f>
        <v>9936</v>
      </c>
      <c r="E46" s="18" t="n">
        <f aca="false">E39*Допущения!E12</f>
        <v>11426.4</v>
      </c>
      <c r="F46" s="18" t="n">
        <f aca="false">F39*Допущения!E12</f>
        <v>13140.36</v>
      </c>
      <c r="G46" s="18" t="n">
        <f aca="false">G39*Допущения!E12</f>
        <v>15111.414</v>
      </c>
      <c r="H46" s="18" t="n">
        <f aca="false">H39*Допущения!E12</f>
        <v>17378.1261</v>
      </c>
      <c r="I46" s="18" t="n">
        <f aca="false">I39*Допущения!E12</f>
        <v>19984.845015</v>
      </c>
      <c r="J46" s="18" t="n">
        <f aca="false">J39*Допущения!E12</f>
        <v>22982.57176725</v>
      </c>
      <c r="K46" s="18" t="n">
        <f aca="false">K39*Допущения!E12</f>
        <v>26429.9575323375</v>
      </c>
      <c r="L46" s="18" t="n">
        <f aca="false">L39*Допущения!E12</f>
        <v>30394.4511621881</v>
      </c>
      <c r="M46" s="18" t="n">
        <f aca="false">M39*Допущения!E12</f>
        <v>34953.6188365163</v>
      </c>
      <c r="N46" s="18" t="n">
        <f aca="false">N39*Допущения!E12</f>
        <v>40196.6616619938</v>
      </c>
      <c r="O46" s="18" t="n">
        <f aca="false">O39*Допущения!E12</f>
        <v>46226.1609112928</v>
      </c>
      <c r="P46" s="18" t="n">
        <f aca="false">P39*Допущения!E12</f>
        <v>53160.0850479867</v>
      </c>
      <c r="Q46" s="18" t="n">
        <f aca="false">Q39*Допущения!E12</f>
        <v>61134.0978051847</v>
      </c>
      <c r="R46" s="18" t="n">
        <f aca="false">R39*Допущения!E12</f>
        <v>70304.2124759625</v>
      </c>
      <c r="S46" s="18" t="n">
        <f aca="false">S39*Допущения!E12</f>
        <v>80849.8443473568</v>
      </c>
      <c r="T46" s="18" t="n">
        <f aca="false">T39*Допущения!E12</f>
        <v>92977.3209994603</v>
      </c>
    </row>
    <row r="47" customFormat="false" ht="15" hidden="false" customHeight="false" outlineLevel="0" collapsed="false">
      <c r="B47" s="0" t="s">
        <v>92</v>
      </c>
      <c r="C47" s="18" t="n">
        <f aca="false">Допущения!E14</f>
        <v>3000</v>
      </c>
      <c r="D47" s="18" t="n">
        <f aca="false">C47*(1+Допущения!E15)</f>
        <v>3060</v>
      </c>
      <c r="E47" s="18" t="n">
        <f aca="false">D47*(1+Допущения!E15)</f>
        <v>3121.2</v>
      </c>
      <c r="F47" s="18" t="n">
        <f aca="false">E47*(1+Допущения!E15)</f>
        <v>3183.624</v>
      </c>
      <c r="G47" s="18" t="n">
        <f aca="false">F47*(1+Допущения!E15)</f>
        <v>3247.29648</v>
      </c>
      <c r="H47" s="18" t="n">
        <f aca="false">G47*(1+Допущения!E15)</f>
        <v>3312.2424096</v>
      </c>
      <c r="I47" s="18" t="n">
        <f aca="false">H47*(1+Допущения!E15)</f>
        <v>3378.487257792</v>
      </c>
      <c r="J47" s="18" t="n">
        <f aca="false">I47*(1+Допущения!E15)</f>
        <v>3446.05700294784</v>
      </c>
      <c r="K47" s="18" t="n">
        <f aca="false">J47*(1+Допущения!E15)</f>
        <v>3514.9781430068</v>
      </c>
      <c r="L47" s="18" t="n">
        <f aca="false">K47*(1+Допущения!E15)</f>
        <v>3585.27770586693</v>
      </c>
      <c r="M47" s="18" t="n">
        <f aca="false">L47*(1+Допущения!E15)</f>
        <v>3656.98325998427</v>
      </c>
      <c r="N47" s="18" t="n">
        <f aca="false">M47*(1+Допущения!E15)</f>
        <v>3730.12292518396</v>
      </c>
      <c r="O47" s="18" t="n">
        <f aca="false">N47*(1+Допущения!E15)</f>
        <v>3804.72538368764</v>
      </c>
      <c r="P47" s="18" t="n">
        <f aca="false">O47*(1+Допущения!E15)</f>
        <v>3880.81989136139</v>
      </c>
      <c r="Q47" s="18" t="n">
        <f aca="false">P47*(1+Допущения!E15)</f>
        <v>3958.43628918862</v>
      </c>
      <c r="R47" s="18" t="n">
        <f aca="false">Q47*(1+Допущения!E15)</f>
        <v>4037.60501497239</v>
      </c>
      <c r="S47" s="18" t="n">
        <f aca="false">R47*(1+Допущения!E15)</f>
        <v>4118.35711527184</v>
      </c>
      <c r="T47" s="18" t="n">
        <f aca="false">S47*(1+Допущения!E15)</f>
        <v>4200.72425757728</v>
      </c>
    </row>
    <row r="48" customFormat="false" ht="15" hidden="false" customHeight="false" outlineLevel="0" collapsed="false">
      <c r="B48" s="0" t="s">
        <v>93</v>
      </c>
      <c r="C48" s="18" t="n">
        <f aca="false">C44-C45-C46-C47</f>
        <v>36129.36</v>
      </c>
      <c r="D48" s="18" t="n">
        <f aca="false">D44-D45-D46-D47</f>
        <v>43388.124</v>
      </c>
      <c r="E48" s="18" t="n">
        <f aca="false">E44-E45-E46-E47</f>
        <v>51743.5026</v>
      </c>
      <c r="F48" s="18" t="n">
        <f aca="false">F44-F45-F46-F47</f>
        <v>61360.14399</v>
      </c>
      <c r="G48" s="18" t="n">
        <f aca="false">G44-G45-G46-G47</f>
        <v>70978.0367085</v>
      </c>
      <c r="H48" s="18" t="n">
        <f aca="false">H44-H45-H46-H47</f>
        <v>82046.8907571749</v>
      </c>
      <c r="I48" s="18" t="n">
        <f aca="false">I44-I45-I46-I47</f>
        <v>94784.5158839992</v>
      </c>
      <c r="J48" s="18" t="n">
        <f aca="false">J44-J45-J46-J47</f>
        <v>109441.396610112</v>
      </c>
      <c r="K48" s="18" t="n">
        <f aca="false">K44-K45-K46-K47</f>
        <v>126305.593512012</v>
      </c>
      <c r="L48" s="18" t="n">
        <f aca="false">L44-L45-L46-L47</f>
        <v>145708.379697405</v>
      </c>
      <c r="M48" s="18" t="n">
        <f aca="false">M44-M45-M46-M47</f>
        <v>168030.722753778</v>
      </c>
      <c r="N48" s="18" t="n">
        <f aca="false">N44-N45-N46-N47</f>
        <v>193710.738990643</v>
      </c>
      <c r="O48" s="18" t="n">
        <f aca="false">O44-O45-O46-O47</f>
        <v>223252.265819513</v>
      </c>
      <c r="P48" s="18" t="n">
        <f aca="false">P44-P45-P46-P47</f>
        <v>257234.719992319</v>
      </c>
      <c r="Q48" s="18" t="n">
        <f aca="false">Q44-Q45-Q46-Q47</f>
        <v>296324.434577044</v>
      </c>
      <c r="R48" s="18" t="n">
        <f aca="false">R44-R45-R46-R47</f>
        <v>341287.696481195</v>
      </c>
      <c r="S48" s="18" t="n">
        <f aca="false">S44-S45-S46-S47</f>
        <v>393005.739605321</v>
      </c>
      <c r="T48" s="18" t="n">
        <f aca="false">T44-T45-T46-T47</f>
        <v>452491.986971105</v>
      </c>
    </row>
    <row r="49" customFormat="false" ht="15" hidden="false" customHeight="false" outlineLevel="0" collapsed="false">
      <c r="B49" s="0" t="s">
        <v>94</v>
      </c>
      <c r="C49" s="18" t="n">
        <f aca="false">C48</f>
        <v>36129.36</v>
      </c>
      <c r="D49" s="18" t="n">
        <f aca="false">C49+D48</f>
        <v>79517.484</v>
      </c>
      <c r="E49" s="18" t="n">
        <f aca="false">D49+E48</f>
        <v>131260.9866</v>
      </c>
      <c r="F49" s="18" t="n">
        <f aca="false">E49+F48</f>
        <v>192621.13059</v>
      </c>
      <c r="G49" s="18" t="n">
        <f aca="false">F49+G48</f>
        <v>263599.1672985</v>
      </c>
      <c r="H49" s="18" t="n">
        <f aca="false">G49+H48</f>
        <v>345646.058055675</v>
      </c>
      <c r="I49" s="18" t="n">
        <f aca="false">H49+I48</f>
        <v>440430.573939674</v>
      </c>
      <c r="J49" s="18" t="n">
        <f aca="false">I49+J48</f>
        <v>549871.970549786</v>
      </c>
      <c r="K49" s="18" t="n">
        <f aca="false">J49+K48</f>
        <v>676177.564061798</v>
      </c>
      <c r="L49" s="18" t="n">
        <f aca="false">K49+L48</f>
        <v>821885.943759203</v>
      </c>
      <c r="M49" s="18" t="n">
        <f aca="false">L49+M48</f>
        <v>989916.666512981</v>
      </c>
      <c r="N49" s="18" t="n">
        <f aca="false">M49+N48</f>
        <v>1183627.40550362</v>
      </c>
      <c r="O49" s="18" t="n">
        <f aca="false">N49+O48</f>
        <v>1406879.67132314</v>
      </c>
      <c r="P49" s="18" t="n">
        <f aca="false">O49+P48</f>
        <v>1664114.39131546</v>
      </c>
      <c r="Q49" s="18" t="n">
        <f aca="false">P49+Q48</f>
        <v>1960438.8258925</v>
      </c>
      <c r="R49" s="18" t="n">
        <f aca="false">Q49+R48</f>
        <v>2301726.5223737</v>
      </c>
      <c r="S49" s="18" t="n">
        <f aca="false">R49+S48</f>
        <v>2694732.26197902</v>
      </c>
      <c r="T49" s="18" t="n">
        <f aca="false">S49+T48</f>
        <v>3147224.24895012</v>
      </c>
    </row>
    <row r="56" customFormat="false" ht="15" hidden="false" customHeight="false" outlineLevel="0" collapsed="false">
      <c r="B56" s="16" t="s">
        <v>97</v>
      </c>
    </row>
    <row r="57" customFormat="false" ht="15" hidden="false" customHeight="false" outlineLevel="0" collapsed="false">
      <c r="B57" s="0" t="s">
        <v>20</v>
      </c>
      <c r="C57" s="19" t="n">
        <f aca="false">C17</f>
        <v>-450.125</v>
      </c>
      <c r="D57" s="19" t="n">
        <f aca="false">D17</f>
        <v>-782.88125</v>
      </c>
      <c r="E57" s="19" t="n">
        <f aca="false">E17</f>
        <v>-1040.4753125</v>
      </c>
      <c r="F57" s="19" t="n">
        <f aca="false">F17</f>
        <v>-1217.313078125</v>
      </c>
      <c r="G57" s="19" t="n">
        <f aca="false">G17</f>
        <v>-1307.48401203125</v>
      </c>
      <c r="H57" s="19" t="n">
        <f aca="false">H17</f>
        <v>-1304.74459823281</v>
      </c>
      <c r="I57" s="19" t="n">
        <f aca="false">I17</f>
        <v>-1202.50094145645</v>
      </c>
      <c r="J57" s="19" t="n">
        <f aca="false">J17</f>
        <v>-993.790484107516</v>
      </c>
      <c r="K57" s="19" t="n">
        <f aca="false">K17</f>
        <v>-671.262793802697</v>
      </c>
      <c r="L57" s="19" t="n">
        <f aca="false">L17</f>
        <v>-227.159374692432</v>
      </c>
      <c r="M57" s="19" t="n">
        <f aca="false">M17</f>
        <v>346.707546549354</v>
      </c>
      <c r="N57" s="19" t="n">
        <f aca="false">N17</f>
        <v>1058.97731165276</v>
      </c>
      <c r="O57" s="19" t="n">
        <f aca="false">O17</f>
        <v>1918.76425276685</v>
      </c>
      <c r="P57" s="19" t="n">
        <f aca="false">P17</f>
        <v>2935.68230244727</v>
      </c>
      <c r="Q57" s="19" t="n">
        <f aca="false">Q17</f>
        <v>4119.87085135257</v>
      </c>
      <c r="R57" s="19" t="n">
        <f aca="false">R17</f>
        <v>5482.02191637878</v>
      </c>
      <c r="S57" s="19" t="n">
        <f aca="false">S17</f>
        <v>7033.40868510547</v>
      </c>
      <c r="T57" s="19" t="n">
        <f aca="false">T17</f>
        <v>8785.91550572665</v>
      </c>
    </row>
    <row r="58" customFormat="false" ht="15" hidden="false" customHeight="false" outlineLevel="0" collapsed="false">
      <c r="B58" s="0" t="s">
        <v>21</v>
      </c>
      <c r="C58" s="19" t="n">
        <f aca="false">C33</f>
        <v>10599.2</v>
      </c>
      <c r="D58" s="19" t="n">
        <f aca="false">D33</f>
        <v>22897.52</v>
      </c>
      <c r="E58" s="19" t="n">
        <f aca="false">E33</f>
        <v>37069.672</v>
      </c>
      <c r="F58" s="19" t="n">
        <f aca="false">F33</f>
        <v>52908.7352</v>
      </c>
      <c r="G58" s="19" t="n">
        <f aca="false">G33</f>
        <v>70586.39464</v>
      </c>
      <c r="H58" s="19" t="n">
        <f aca="false">H33</f>
        <v>90291.6037424</v>
      </c>
      <c r="I58" s="19" t="n">
        <f aca="false">I33</f>
        <v>112232.313147808</v>
      </c>
      <c r="J58" s="19" t="n">
        <f aca="false">J33</f>
        <v>136637.37247438</v>
      </c>
      <c r="K58" s="19" t="n">
        <f aca="false">K33</f>
        <v>163758.622293845</v>
      </c>
      <c r="L58" s="19" t="n">
        <f aca="false">L33</f>
        <v>193873.195346698</v>
      </c>
      <c r="M58" s="19" t="n">
        <f aca="false">M33</f>
        <v>227286.047921305</v>
      </c>
      <c r="N58" s="19" t="n">
        <f aca="false">N33</f>
        <v>264332.744414171</v>
      </c>
      <c r="O58" s="19" t="n">
        <f aca="false">O33</f>
        <v>305382.520390339</v>
      </c>
      <c r="P58" s="19" t="n">
        <f aca="false">P33</f>
        <v>350841.651994818</v>
      </c>
      <c r="Q58" s="19" t="n">
        <f aca="false">Q33</f>
        <v>401157.162351054</v>
      </c>
      <c r="R58" s="19" t="n">
        <f aca="false">R33</f>
        <v>456820.898646049</v>
      </c>
      <c r="S58" s="19" t="n">
        <f aca="false">S33</f>
        <v>518374.016971742</v>
      </c>
      <c r="T58" s="19" t="n">
        <f aca="false">T33</f>
        <v>586411.915699225</v>
      </c>
    </row>
    <row r="59" customFormat="false" ht="15" hidden="false" customHeight="false" outlineLevel="0" collapsed="false">
      <c r="B59" s="0" t="s">
        <v>22</v>
      </c>
      <c r="C59" s="19" t="n">
        <f aca="false">C49</f>
        <v>36129.36</v>
      </c>
      <c r="D59" s="19" t="n">
        <f aca="false">D49</f>
        <v>79517.484</v>
      </c>
      <c r="E59" s="19" t="n">
        <f aca="false">E49</f>
        <v>131260.9866</v>
      </c>
      <c r="F59" s="19" t="n">
        <f aca="false">F49</f>
        <v>192621.13059</v>
      </c>
      <c r="G59" s="19" t="n">
        <f aca="false">G49</f>
        <v>263599.1672985</v>
      </c>
      <c r="H59" s="19" t="n">
        <f aca="false">H49</f>
        <v>345646.058055675</v>
      </c>
      <c r="I59" s="19" t="n">
        <f aca="false">I49</f>
        <v>440430.573939674</v>
      </c>
      <c r="J59" s="19" t="n">
        <f aca="false">J49</f>
        <v>549871.970549786</v>
      </c>
      <c r="K59" s="19" t="n">
        <f aca="false">K49</f>
        <v>676177.564061798</v>
      </c>
      <c r="L59" s="19" t="n">
        <f aca="false">L49</f>
        <v>821885.943759203</v>
      </c>
      <c r="M59" s="19" t="n">
        <f aca="false">M49</f>
        <v>989916.666512981</v>
      </c>
      <c r="N59" s="19" t="n">
        <f aca="false">N49</f>
        <v>1183627.40550362</v>
      </c>
      <c r="O59" s="19" t="n">
        <f aca="false">O49</f>
        <v>1406879.67132314</v>
      </c>
      <c r="P59" s="19" t="n">
        <f aca="false">P49</f>
        <v>1664114.39131546</v>
      </c>
      <c r="Q59" s="19" t="n">
        <f aca="false">Q49</f>
        <v>1960438.8258925</v>
      </c>
      <c r="R59" s="19" t="n">
        <f aca="false">R49</f>
        <v>2301726.5223737</v>
      </c>
      <c r="S59" s="19" t="n">
        <f aca="false">S49</f>
        <v>2694732.26197902</v>
      </c>
      <c r="T59" s="19" t="n">
        <f aca="false">T49</f>
        <v>3147224.24895012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46"/>
  </cols>
  <sheetData>
    <row r="2" customFormat="false" ht="15" hidden="false" customHeight="false" outlineLevel="0" collapsed="false">
      <c r="B2" s="7" t="s">
        <v>98</v>
      </c>
      <c r="C2" s="7"/>
      <c r="D2" s="7"/>
      <c r="E2" s="7"/>
    </row>
    <row r="4" customFormat="false" ht="15" hidden="false" customHeight="false" outlineLevel="0" collapsed="false">
      <c r="B4" s="8" t="s">
        <v>99</v>
      </c>
      <c r="C4" s="8" t="s">
        <v>100</v>
      </c>
      <c r="D4" s="8" t="s">
        <v>101</v>
      </c>
      <c r="E4" s="8" t="s">
        <v>102</v>
      </c>
    </row>
    <row r="5" customFormat="false" ht="15" hidden="false" customHeight="false" outlineLevel="0" collapsed="false">
      <c r="B5" s="0" t="s">
        <v>103</v>
      </c>
      <c r="C5" s="0" t="s">
        <v>104</v>
      </c>
      <c r="D5" s="0" t="s">
        <v>105</v>
      </c>
      <c r="E5" s="0" t="s">
        <v>106</v>
      </c>
    </row>
    <row r="6" customFormat="false" ht="15" hidden="false" customHeight="false" outlineLevel="0" collapsed="false">
      <c r="B6" s="0" t="s">
        <v>107</v>
      </c>
      <c r="C6" s="0" t="s">
        <v>108</v>
      </c>
      <c r="D6" s="0" t="s">
        <v>105</v>
      </c>
      <c r="E6" s="0" t="s">
        <v>106</v>
      </c>
    </row>
    <row r="7" customFormat="false" ht="15" hidden="false" customHeight="false" outlineLevel="0" collapsed="false">
      <c r="B7" s="0" t="s">
        <v>109</v>
      </c>
      <c r="C7" s="0" t="s">
        <v>110</v>
      </c>
      <c r="D7" s="0" t="s">
        <v>105</v>
      </c>
      <c r="E7" s="0" t="s">
        <v>106</v>
      </c>
    </row>
    <row r="8" customFormat="false" ht="15" hidden="false" customHeight="false" outlineLevel="0" collapsed="false">
      <c r="B8" s="0" t="s">
        <v>111</v>
      </c>
      <c r="C8" s="0" t="s">
        <v>112</v>
      </c>
      <c r="D8" s="0" t="s">
        <v>105</v>
      </c>
      <c r="E8" s="0" t="s">
        <v>106</v>
      </c>
    </row>
    <row r="9" customFormat="false" ht="15" hidden="false" customHeight="false" outlineLevel="0" collapsed="false">
      <c r="B9" s="0" t="s">
        <v>113</v>
      </c>
      <c r="C9" s="0" t="s">
        <v>9</v>
      </c>
      <c r="D9" s="0" t="s">
        <v>114</v>
      </c>
      <c r="E9" s="0" t="s">
        <v>115</v>
      </c>
    </row>
    <row r="10" customFormat="false" ht="15" hidden="false" customHeight="false" outlineLevel="0" collapsed="false">
      <c r="B10" s="0" t="s">
        <v>116</v>
      </c>
      <c r="C10" s="0" t="s">
        <v>9</v>
      </c>
      <c r="D10" s="0" t="s">
        <v>117</v>
      </c>
      <c r="E10" s="0" t="s">
        <v>115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2026-07-20T01:01:06Z</dcterms:created>
  <dc:creator>openpyxl</dc:creator>
  <dc:description/>
  <dc:language>en-US</dc:language>
  <cp:lastModifiedBy/>
  <dcterms:modified xsi:type="dcterms:W3CDTF">2026-07-20T09:07:05Z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